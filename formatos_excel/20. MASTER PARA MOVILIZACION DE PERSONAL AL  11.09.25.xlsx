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rupocredco24.sharepoint.com/sites/MARSA/Documentos compartidos/Doc. Marsa/1. OPERACIONES/2. EJECUCIÓN/2026/ENERO/MOVILIZACION/"/>
    </mc:Choice>
  </mc:AlternateContent>
  <xr:revisionPtr revIDLastSave="5" documentId="13_ncr:1_{37F282B7-E8C7-47C7-90E3-2263ACB8DE16}" xr6:coauthVersionLast="47" xr6:coauthVersionMax="47" xr10:uidLastSave="{AE3FC2B0-0A40-4964-82DC-B52B5B9B55B7}"/>
  <bookViews>
    <workbookView xWindow="-21720" yWindow="-120" windowWidth="21840" windowHeight="13740" tabRatio="472" xr2:uid="{00000000-000D-0000-FFFF-FFFF00000000}"/>
  </bookViews>
  <sheets>
    <sheet name="PERSONAL ACTIVO" sheetId="2" r:id="rId1"/>
    <sheet name="PERSONAL CESADO" sheetId="5" r:id="rId2"/>
    <sheet name="Hoja2" sheetId="4" r:id="rId3"/>
    <sheet name="Hoja1" sheetId="3" r:id="rId4"/>
    <sheet name="Hoja3" sheetId="6" r:id="rId5"/>
  </sheets>
  <definedNames>
    <definedName name="_xlnm._FilterDatabase" localSheetId="3" hidden="1">Hoja1!$J$5:$K$52</definedName>
    <definedName name="_xlnm._FilterDatabase" localSheetId="2" hidden="1">Hoja2!$H$1:$J$1</definedName>
    <definedName name="_xlnm._FilterDatabase" localSheetId="0" hidden="1">'PERSONAL ACTIVO'!$A$5:$AHN$80</definedName>
    <definedName name="_xlnm._FilterDatabase" localSheetId="1" hidden="1">'PERSONAL CESADO'!$A$4:$AK$196</definedName>
    <definedName name="_xlnm.Print_Area" localSheetId="0">'PERSONAL ACTIVO'!$F$5:$AA$5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9" i="2" l="1"/>
  <c r="AI196" i="5"/>
  <c r="AH196" i="5"/>
  <c r="AG196" i="5"/>
  <c r="AB196" i="5"/>
  <c r="K196" i="5"/>
  <c r="AI195" i="5"/>
  <c r="AH195" i="5"/>
  <c r="AG195" i="5"/>
  <c r="AB195" i="5"/>
  <c r="K195" i="5"/>
  <c r="K194" i="5"/>
  <c r="AB194" i="5"/>
  <c r="AG194" i="5"/>
  <c r="AH194" i="5"/>
  <c r="AI194" i="5"/>
  <c r="K193" i="5"/>
  <c r="AB193" i="5"/>
  <c r="AG193" i="5"/>
  <c r="AH193" i="5"/>
  <c r="AI193" i="5"/>
  <c r="K192" i="5"/>
  <c r="W192" i="5"/>
  <c r="AB192" i="5"/>
  <c r="AG192" i="5"/>
  <c r="AH192" i="5"/>
  <c r="AI192" i="5"/>
  <c r="K191" i="5"/>
  <c r="W191" i="5"/>
  <c r="AB191" i="5"/>
  <c r="AG191" i="5"/>
  <c r="AH191" i="5"/>
  <c r="AI191" i="5"/>
  <c r="K190" i="5"/>
  <c r="AB190" i="5"/>
  <c r="AG190" i="5"/>
  <c r="AH190" i="5"/>
  <c r="AI190" i="5"/>
  <c r="AI189" i="5"/>
  <c r="AH189" i="5"/>
  <c r="AG189" i="5"/>
  <c r="AB189" i="5"/>
  <c r="K189" i="5"/>
  <c r="AB80" i="2"/>
  <c r="AB79" i="2"/>
  <c r="AG79" i="2"/>
  <c r="AH79" i="2"/>
  <c r="AI79" i="2"/>
  <c r="K80" i="2"/>
  <c r="AG80" i="2"/>
  <c r="AH80" i="2"/>
  <c r="AI80" i="2"/>
  <c r="K188" i="5"/>
  <c r="AB188" i="5"/>
  <c r="AG188" i="5"/>
  <c r="AH188" i="5"/>
  <c r="AI188" i="5"/>
  <c r="K78" i="2"/>
  <c r="AB78" i="2"/>
  <c r="AG78" i="2"/>
  <c r="AH78" i="2"/>
  <c r="AI78" i="2"/>
  <c r="K77" i="2"/>
  <c r="AB77" i="2"/>
  <c r="AG77" i="2"/>
  <c r="AH77" i="2"/>
  <c r="AI77" i="2"/>
  <c r="K187" i="5"/>
  <c r="AB187" i="5"/>
  <c r="AG187" i="5"/>
  <c r="AH187" i="5"/>
  <c r="AI187" i="5"/>
  <c r="K75" i="2"/>
  <c r="AB75" i="2"/>
  <c r="AG75" i="2"/>
  <c r="AH75" i="2"/>
  <c r="AI75" i="2"/>
  <c r="K74" i="2"/>
  <c r="AB74" i="2"/>
  <c r="AG74" i="2"/>
  <c r="AH74" i="2"/>
  <c r="AI74" i="2"/>
  <c r="K76" i="2"/>
  <c r="AB76" i="2"/>
  <c r="AG76" i="2"/>
  <c r="AH76" i="2"/>
  <c r="AI76" i="2"/>
  <c r="AB73" i="2"/>
  <c r="K72" i="2"/>
  <c r="AB72" i="2"/>
  <c r="AG72" i="2"/>
  <c r="AH72" i="2"/>
  <c r="AI72" i="2"/>
  <c r="K73" i="2"/>
  <c r="AG73" i="2"/>
  <c r="AH73" i="2"/>
  <c r="AI73" i="2"/>
  <c r="K186" i="5"/>
  <c r="AB186" i="5"/>
  <c r="AG186" i="5"/>
  <c r="AH186" i="5"/>
  <c r="AI186" i="5"/>
  <c r="K185" i="5"/>
  <c r="W185" i="5"/>
  <c r="AB185" i="5"/>
  <c r="AG185" i="5"/>
  <c r="AH185" i="5"/>
  <c r="AI185" i="5"/>
  <c r="K184" i="5"/>
  <c r="AB184" i="5"/>
  <c r="AG184" i="5"/>
  <c r="AH184" i="5"/>
  <c r="AI184" i="5"/>
  <c r="AB56" i="2"/>
  <c r="AG56" i="2"/>
  <c r="AH56" i="2"/>
  <c r="AI56" i="2"/>
  <c r="AB17" i="2"/>
  <c r="AB11" i="2"/>
  <c r="AB8" i="2"/>
  <c r="AB9" i="2"/>
  <c r="AB10" i="2"/>
  <c r="AB13" i="2"/>
  <c r="AB15" i="2"/>
  <c r="AB16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" i="2"/>
  <c r="K68" i="2"/>
  <c r="AG68" i="2"/>
  <c r="AH68" i="2"/>
  <c r="AI68" i="2"/>
  <c r="K69" i="2"/>
  <c r="AG69" i="2"/>
  <c r="AH69" i="2"/>
  <c r="AI69" i="2"/>
  <c r="K70" i="2"/>
  <c r="AG70" i="2"/>
  <c r="AH70" i="2"/>
  <c r="AI70" i="2"/>
  <c r="K71" i="2"/>
  <c r="AG71" i="2"/>
  <c r="AH71" i="2"/>
  <c r="AI71" i="2"/>
  <c r="K63" i="2"/>
  <c r="K61" i="2"/>
  <c r="K67" i="2"/>
  <c r="AG67" i="2"/>
  <c r="AH67" i="2"/>
  <c r="AI67" i="2"/>
  <c r="K183" i="5"/>
  <c r="AG183" i="5"/>
  <c r="AH183" i="5"/>
  <c r="AI183" i="5"/>
  <c r="K182" i="5"/>
  <c r="AG182" i="5"/>
  <c r="AH182" i="5"/>
  <c r="AI182" i="5"/>
  <c r="K181" i="5"/>
  <c r="AG181" i="5"/>
  <c r="AH181" i="5"/>
  <c r="AI181" i="5"/>
  <c r="AI44" i="2"/>
  <c r="AH44" i="2"/>
  <c r="AG44" i="2"/>
  <c r="K44" i="2"/>
  <c r="AI43" i="2"/>
  <c r="AH43" i="2"/>
  <c r="AG43" i="2"/>
  <c r="K43" i="2"/>
  <c r="AI42" i="2"/>
  <c r="AH42" i="2"/>
  <c r="AG42" i="2"/>
  <c r="K42" i="2"/>
  <c r="AI41" i="2"/>
  <c r="AH41" i="2"/>
  <c r="AG41" i="2"/>
  <c r="K41" i="2"/>
  <c r="AI40" i="2"/>
  <c r="AH40" i="2"/>
  <c r="AG40" i="2"/>
  <c r="K40" i="2"/>
  <c r="AI39" i="2"/>
  <c r="AH39" i="2"/>
  <c r="AG39" i="2"/>
  <c r="K39" i="2"/>
  <c r="AI38" i="2"/>
  <c r="AH38" i="2"/>
  <c r="AG38" i="2"/>
  <c r="K38" i="2"/>
  <c r="AG65" i="2"/>
  <c r="AH65" i="2"/>
  <c r="AI65" i="2"/>
  <c r="K65" i="2"/>
  <c r="AG66" i="2"/>
  <c r="AH66" i="2"/>
  <c r="AI66" i="2"/>
  <c r="K66" i="2"/>
  <c r="AG64" i="2"/>
  <c r="AH64" i="2"/>
  <c r="AI64" i="2"/>
  <c r="K64" i="2"/>
  <c r="K62" i="2"/>
  <c r="W58" i="2"/>
  <c r="W59" i="2"/>
  <c r="W60" i="2"/>
  <c r="W57" i="2"/>
  <c r="AG60" i="2"/>
  <c r="AH60" i="2"/>
  <c r="AI60" i="2"/>
  <c r="AG61" i="2"/>
  <c r="AH61" i="2"/>
  <c r="AI61" i="2"/>
  <c r="AG62" i="2"/>
  <c r="AH62" i="2"/>
  <c r="AI62" i="2"/>
  <c r="AG63" i="2"/>
  <c r="AH63" i="2"/>
  <c r="AI63" i="2"/>
  <c r="K60" i="2"/>
  <c r="K180" i="5"/>
  <c r="AG180" i="5"/>
  <c r="AH180" i="5"/>
  <c r="AI180" i="5"/>
  <c r="K57" i="2"/>
  <c r="AG57" i="2"/>
  <c r="AH57" i="2"/>
  <c r="AI57" i="2"/>
  <c r="K58" i="2"/>
  <c r="AG58" i="2"/>
  <c r="AH58" i="2"/>
  <c r="AI58" i="2"/>
  <c r="K59" i="2"/>
  <c r="AG59" i="2"/>
  <c r="AH59" i="2"/>
  <c r="AI59" i="2"/>
  <c r="K179" i="5"/>
  <c r="AG179" i="5"/>
  <c r="AH179" i="5"/>
  <c r="AI179" i="5"/>
  <c r="AI18" i="2"/>
  <c r="AH18" i="2"/>
  <c r="AG18" i="2"/>
  <c r="K18" i="2"/>
  <c r="K53" i="2"/>
  <c r="K54" i="2"/>
  <c r="K55" i="2"/>
  <c r="K56" i="2"/>
  <c r="AG10" i="2"/>
  <c r="AH10" i="2"/>
  <c r="AI10" i="2"/>
  <c r="K10" i="2"/>
  <c r="AG55" i="2"/>
  <c r="AH55" i="2"/>
  <c r="AI55" i="2"/>
  <c r="AG54" i="2"/>
  <c r="AH54" i="2"/>
  <c r="AI54" i="2"/>
  <c r="AG52" i="2"/>
  <c r="AH52" i="2"/>
  <c r="AI52" i="2"/>
  <c r="AG53" i="2"/>
  <c r="AH53" i="2"/>
  <c r="AI53" i="2"/>
  <c r="AG51" i="2"/>
  <c r="AH51" i="2"/>
  <c r="AI51" i="2"/>
  <c r="K45" i="2"/>
  <c r="K46" i="2"/>
  <c r="K47" i="2"/>
  <c r="K48" i="2"/>
  <c r="K49" i="2"/>
  <c r="K50" i="2"/>
  <c r="K51" i="2"/>
  <c r="K52" i="2"/>
  <c r="K178" i="5"/>
  <c r="AG178" i="5"/>
  <c r="AH178" i="5"/>
  <c r="AI178" i="5"/>
  <c r="K177" i="5"/>
  <c r="AG177" i="5"/>
  <c r="AH177" i="5"/>
  <c r="AI177" i="5"/>
  <c r="K176" i="5"/>
  <c r="AG176" i="5"/>
  <c r="AH176" i="5"/>
  <c r="AI176" i="5"/>
  <c r="K175" i="5"/>
  <c r="AG175" i="5"/>
  <c r="AH175" i="5"/>
  <c r="AI175" i="5"/>
  <c r="K174" i="5"/>
  <c r="AG174" i="5"/>
  <c r="AH174" i="5"/>
  <c r="AI174" i="5"/>
  <c r="K173" i="5"/>
  <c r="AG173" i="5"/>
  <c r="AH173" i="5"/>
  <c r="AI173" i="5"/>
  <c r="K171" i="5"/>
  <c r="AG171" i="5"/>
  <c r="AH171" i="5"/>
  <c r="AI171" i="5"/>
  <c r="K172" i="5"/>
  <c r="AG172" i="5"/>
  <c r="AH172" i="5"/>
  <c r="AI172" i="5"/>
  <c r="K170" i="5"/>
  <c r="AG170" i="5"/>
  <c r="AH170" i="5"/>
  <c r="AI170" i="5"/>
  <c r="K34" i="2"/>
  <c r="AG50" i="2"/>
  <c r="AH50" i="2"/>
  <c r="AI50" i="2"/>
  <c r="K169" i="5"/>
  <c r="AG169" i="5"/>
  <c r="AH169" i="5"/>
  <c r="AI169" i="5"/>
  <c r="AI45" i="2"/>
  <c r="AG49" i="2"/>
  <c r="AH49" i="2"/>
  <c r="AI49" i="2"/>
  <c r="K25" i="2"/>
  <c r="K168" i="5"/>
  <c r="AG168" i="5"/>
  <c r="AH168" i="5"/>
  <c r="AI168" i="5"/>
  <c r="AG48" i="2"/>
  <c r="AH48" i="2"/>
  <c r="AI48" i="2"/>
  <c r="AG46" i="2"/>
  <c r="AH46" i="2"/>
  <c r="AI46" i="2"/>
  <c r="AG47" i="2"/>
  <c r="AH47" i="2"/>
  <c r="AI47" i="2"/>
  <c r="AG45" i="2"/>
  <c r="AH45" i="2"/>
  <c r="K33" i="2"/>
  <c r="K20" i="2"/>
  <c r="K30" i="2"/>
  <c r="K9" i="2" l="1"/>
  <c r="AI167" i="5" l="1"/>
  <c r="AG167" i="5"/>
  <c r="AG158" i="5"/>
  <c r="AG11" i="2" l="1"/>
  <c r="K167" i="5"/>
  <c r="AH167" i="5"/>
  <c r="AI166" i="5"/>
  <c r="AH166" i="5"/>
  <c r="AG166" i="5"/>
  <c r="AB166" i="5"/>
  <c r="K166" i="5"/>
  <c r="K21" i="2"/>
  <c r="AG137" i="5"/>
  <c r="AH137" i="5"/>
  <c r="AI137" i="5"/>
  <c r="AG138" i="5"/>
  <c r="AH138" i="5"/>
  <c r="AI138" i="5"/>
  <c r="AG139" i="5"/>
  <c r="AH139" i="5"/>
  <c r="AI139" i="5"/>
  <c r="AG140" i="5"/>
  <c r="AH140" i="5"/>
  <c r="AI140" i="5"/>
  <c r="AG141" i="5"/>
  <c r="AH141" i="5"/>
  <c r="AI141" i="5"/>
  <c r="AG142" i="5"/>
  <c r="AH142" i="5"/>
  <c r="AI142" i="5"/>
  <c r="AG143" i="5"/>
  <c r="AH143" i="5"/>
  <c r="AI143" i="5"/>
  <c r="AG144" i="5"/>
  <c r="AH144" i="5"/>
  <c r="AI144" i="5"/>
  <c r="AG145" i="5"/>
  <c r="AH145" i="5"/>
  <c r="AI145" i="5"/>
  <c r="AG146" i="5"/>
  <c r="AH146" i="5"/>
  <c r="AI146" i="5"/>
  <c r="AG147" i="5"/>
  <c r="AH147" i="5"/>
  <c r="AI147" i="5"/>
  <c r="AG148" i="5"/>
  <c r="AH148" i="5"/>
  <c r="AI148" i="5"/>
  <c r="AG149" i="5"/>
  <c r="AH149" i="5"/>
  <c r="AI149" i="5"/>
  <c r="AG150" i="5"/>
  <c r="AH150" i="5"/>
  <c r="AI150" i="5"/>
  <c r="AG151" i="5"/>
  <c r="AH151" i="5"/>
  <c r="AI151" i="5"/>
  <c r="AG152" i="5"/>
  <c r="AH152" i="5"/>
  <c r="AI152" i="5"/>
  <c r="AG153" i="5"/>
  <c r="AH153" i="5"/>
  <c r="AI153" i="5"/>
  <c r="AG154" i="5"/>
  <c r="AH154" i="5"/>
  <c r="AI154" i="5"/>
  <c r="AG155" i="5"/>
  <c r="AH155" i="5"/>
  <c r="AI155" i="5"/>
  <c r="AG156" i="5"/>
  <c r="AH156" i="5"/>
  <c r="AI156" i="5"/>
  <c r="AG157" i="5"/>
  <c r="AH157" i="5"/>
  <c r="AI157" i="5"/>
  <c r="AH158" i="5"/>
  <c r="AI158" i="5"/>
  <c r="AG159" i="5"/>
  <c r="AH159" i="5"/>
  <c r="AI159" i="5"/>
  <c r="AG160" i="5"/>
  <c r="AH160" i="5"/>
  <c r="AI160" i="5"/>
  <c r="AG161" i="5"/>
  <c r="AH161" i="5"/>
  <c r="AI161" i="5"/>
  <c r="AG162" i="5"/>
  <c r="AH162" i="5"/>
  <c r="AI162" i="5"/>
  <c r="AG163" i="5"/>
  <c r="AH163" i="5"/>
  <c r="AI163" i="5"/>
  <c r="AG164" i="5"/>
  <c r="AH164" i="5"/>
  <c r="AI164" i="5"/>
  <c r="AG165" i="5"/>
  <c r="AH165" i="5"/>
  <c r="AI165" i="5"/>
  <c r="K165" i="5"/>
  <c r="K164" i="5"/>
  <c r="AG34" i="2"/>
  <c r="AH34" i="2"/>
  <c r="AI34" i="2"/>
  <c r="K163" i="5" l="1"/>
  <c r="K7" i="2"/>
  <c r="K162" i="5" l="1"/>
  <c r="K161" i="5"/>
  <c r="K160" i="5" l="1"/>
  <c r="K35" i="2"/>
  <c r="K19" i="2" l="1"/>
  <c r="AG35" i="2"/>
  <c r="AH35" i="2"/>
  <c r="AI35" i="2"/>
  <c r="AG33" i="2" l="1"/>
  <c r="AH33" i="2"/>
  <c r="AI33" i="2"/>
  <c r="AG127" i="5" l="1"/>
  <c r="AH127" i="5"/>
  <c r="AI127" i="5"/>
  <c r="AG128" i="5"/>
  <c r="AH128" i="5"/>
  <c r="AI128" i="5"/>
  <c r="AG129" i="5"/>
  <c r="AH129" i="5"/>
  <c r="AI129" i="5"/>
  <c r="AG130" i="5"/>
  <c r="AH130" i="5"/>
  <c r="AI130" i="5"/>
  <c r="AG131" i="5"/>
  <c r="AH131" i="5"/>
  <c r="AI131" i="5"/>
  <c r="AG132" i="5"/>
  <c r="AH132" i="5"/>
  <c r="AI132" i="5"/>
  <c r="AG133" i="5"/>
  <c r="AH133" i="5"/>
  <c r="AI133" i="5"/>
  <c r="AG134" i="5"/>
  <c r="AH134" i="5"/>
  <c r="AI134" i="5"/>
  <c r="AG135" i="5"/>
  <c r="AH135" i="5"/>
  <c r="AI135" i="5"/>
  <c r="AG136" i="5"/>
  <c r="AH136" i="5"/>
  <c r="AI136" i="5"/>
  <c r="AB159" i="5"/>
  <c r="K159" i="5"/>
  <c r="AB158" i="5"/>
  <c r="K158" i="5"/>
  <c r="AB157" i="5"/>
  <c r="K157" i="5"/>
  <c r="AB155" i="5"/>
  <c r="K155" i="5"/>
  <c r="AB156" i="5"/>
  <c r="K156" i="5"/>
  <c r="AB154" i="5"/>
  <c r="K154" i="5"/>
  <c r="AB153" i="5"/>
  <c r="K153" i="5"/>
  <c r="AB152" i="5"/>
  <c r="K152" i="5"/>
  <c r="AB151" i="5"/>
  <c r="K151" i="5"/>
  <c r="AB150" i="5"/>
  <c r="K150" i="5"/>
  <c r="AB149" i="5"/>
  <c r="K149" i="5"/>
  <c r="AB148" i="5"/>
  <c r="K148" i="5"/>
  <c r="AB147" i="5"/>
  <c r="K147" i="5"/>
  <c r="AB146" i="5"/>
  <c r="K146" i="5"/>
  <c r="AB145" i="5"/>
  <c r="K145" i="5"/>
  <c r="AB144" i="5"/>
  <c r="K144" i="5"/>
  <c r="AB143" i="5"/>
  <c r="K143" i="5"/>
  <c r="AB142" i="5"/>
  <c r="K142" i="5"/>
  <c r="AB141" i="5"/>
  <c r="K141" i="5"/>
  <c r="AB140" i="5"/>
  <c r="K140" i="5"/>
  <c r="AB139" i="5"/>
  <c r="K139" i="5"/>
  <c r="AB138" i="5"/>
  <c r="K138" i="5"/>
  <c r="AB137" i="5"/>
  <c r="K137" i="5"/>
  <c r="AB136" i="5"/>
  <c r="K136" i="5"/>
  <c r="AB135" i="5"/>
  <c r="K135" i="5"/>
  <c r="AB134" i="5"/>
  <c r="K134" i="5"/>
  <c r="AB133" i="5"/>
  <c r="K133" i="5"/>
  <c r="AB132" i="5"/>
  <c r="K132" i="5"/>
  <c r="AB131" i="5"/>
  <c r="K131" i="5"/>
  <c r="AB130" i="5"/>
  <c r="K130" i="5"/>
  <c r="AB129" i="5"/>
  <c r="K129" i="5"/>
  <c r="AB128" i="5"/>
  <c r="K128" i="5"/>
  <c r="AB127" i="5"/>
  <c r="K127" i="5"/>
  <c r="K126" i="5"/>
  <c r="K123" i="5"/>
  <c r="K122" i="5"/>
  <c r="K121" i="5"/>
  <c r="K120" i="5"/>
  <c r="K119" i="5"/>
  <c r="K118" i="5"/>
  <c r="K117" i="5"/>
  <c r="K116" i="5"/>
  <c r="K109" i="5"/>
  <c r="K108" i="5"/>
  <c r="K107" i="5"/>
  <c r="K102" i="5"/>
  <c r="K90" i="5"/>
  <c r="K78" i="5"/>
  <c r="K72" i="5"/>
  <c r="K69" i="5"/>
  <c r="K68" i="5"/>
  <c r="K64" i="5"/>
  <c r="K63" i="5"/>
  <c r="K5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22" i="2" l="1"/>
  <c r="K29" i="2" l="1"/>
  <c r="D11" i="3" l="1"/>
  <c r="AG20" i="2"/>
  <c r="AH20" i="2"/>
  <c r="AI20" i="2"/>
  <c r="AG21" i="2"/>
  <c r="AH21" i="2"/>
  <c r="AI21" i="2"/>
  <c r="K16" i="2"/>
  <c r="K15" i="2" l="1"/>
  <c r="K13" i="2"/>
  <c r="K27" i="2" l="1"/>
  <c r="AG36" i="2" l="1"/>
  <c r="AH36" i="2"/>
  <c r="AI36" i="2"/>
  <c r="K36" i="2"/>
  <c r="K23" i="2"/>
  <c r="AI17" i="2" l="1"/>
  <c r="AH17" i="2"/>
  <c r="AG17" i="2"/>
  <c r="K17" i="2"/>
  <c r="AG29" i="2" l="1"/>
  <c r="AH29" i="2"/>
  <c r="AI29" i="2"/>
  <c r="AG9" i="2"/>
  <c r="AH9" i="2"/>
  <c r="AI9" i="2"/>
  <c r="K8" i="2"/>
  <c r="K24" i="2" l="1"/>
  <c r="AG24" i="2"/>
  <c r="AH24" i="2"/>
  <c r="AI24" i="2"/>
  <c r="AI11" i="2"/>
  <c r="AH11" i="2"/>
  <c r="AI27" i="2"/>
  <c r="AH27" i="2"/>
  <c r="AG27" i="2"/>
  <c r="AI37" i="2"/>
  <c r="AH37" i="2"/>
  <c r="AG37" i="2"/>
  <c r="AI26" i="2"/>
  <c r="AH26" i="2"/>
  <c r="AG26" i="2"/>
  <c r="AI32" i="2"/>
  <c r="AH32" i="2"/>
  <c r="AG32" i="2"/>
  <c r="AI23" i="2"/>
  <c r="AH23" i="2"/>
  <c r="AG23" i="2"/>
  <c r="AI31" i="2"/>
  <c r="AH31" i="2"/>
  <c r="AG31" i="2"/>
  <c r="AI30" i="2"/>
  <c r="AH30" i="2"/>
  <c r="AG30" i="2"/>
  <c r="AI28" i="2"/>
  <c r="AH28" i="2"/>
  <c r="AG28" i="2"/>
  <c r="AI25" i="2"/>
  <c r="AH25" i="2"/>
  <c r="AG25" i="2"/>
  <c r="AI22" i="2"/>
  <c r="AH22" i="2"/>
  <c r="AG22" i="2"/>
  <c r="AI19" i="2"/>
  <c r="AH19" i="2"/>
  <c r="AG19" i="2"/>
  <c r="AI16" i="2"/>
  <c r="AH16" i="2"/>
  <c r="AG16" i="2"/>
  <c r="AI15" i="2"/>
  <c r="AH15" i="2"/>
  <c r="AG15" i="2"/>
  <c r="AI13" i="2"/>
  <c r="AH13" i="2"/>
  <c r="AG13" i="2"/>
  <c r="AG8" i="2"/>
  <c r="AH8" i="2"/>
  <c r="AI8" i="2"/>
  <c r="AI7" i="2"/>
  <c r="AH7" i="2"/>
  <c r="AG7" i="2"/>
  <c r="K28" i="2"/>
  <c r="C11" i="3"/>
  <c r="K31" i="2"/>
  <c r="K32" i="2"/>
  <c r="K26" i="2"/>
  <c r="K11" i="2"/>
  <c r="K37" i="2"/>
  <c r="AB183" i="5" l="1"/>
  <c r="AB182" i="5"/>
  <c r="AB181" i="5"/>
  <c r="AB180" i="5"/>
  <c r="AB179" i="5"/>
  <c r="AB177" i="5"/>
  <c r="AB178" i="5"/>
  <c r="AB175" i="5"/>
  <c r="AB176" i="5"/>
  <c r="AB173" i="5"/>
  <c r="AB174" i="5"/>
  <c r="AB170" i="5"/>
  <c r="AB171" i="5"/>
  <c r="AB172" i="5"/>
  <c r="AB169" i="5"/>
  <c r="AB168" i="5"/>
  <c r="AB167" i="5"/>
  <c r="AB164" i="5"/>
  <c r="AB165" i="5"/>
  <c r="AB163" i="5"/>
  <c r="AB161" i="5"/>
  <c r="AB162" i="5"/>
  <c r="AB16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Gerson Jhoel Corcuera Diaz</author>
  </authors>
  <commentList>
    <comment ref="N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CAMPO OBLIGATORIO</t>
        </r>
        <r>
          <rPr>
            <sz val="9"/>
            <color indexed="81"/>
            <rFont val="Tahoma"/>
            <family val="2"/>
          </rPr>
          <t xml:space="preserve">
SI NO TIENE CELULAR, COLOCAR EL DE SU EMPRESA.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CAMPO OBLIGATORIO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SI NO TIENE CORREO, COLOCAR EL DE SU EMPRESA.
</t>
        </r>
      </text>
    </comment>
    <comment ref="P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MINERA AURIFERA RETAMAS S.A.</t>
        </r>
      </text>
    </comment>
    <comment ref="Q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SAN ANDRES</t>
        </r>
      </text>
    </comment>
    <comment ref="T5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SUPERFICIE
SUBSUELO
</t>
        </r>
      </text>
    </comment>
    <comment ref="W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EN LA UNIDAD
DIAS LIBRES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5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SI ES PERSONAL A DESMOVILIZAR COLOCAR DESTINO (TRUJILLO, OTROS DE LA ZONA)
</t>
        </r>
      </text>
    </comment>
    <comment ref="AD5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SAN ANDRES - BUENOS AIRES - CEO - CHILCAS OESTE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Gerson Jhoel Corcuera Diaz</author>
  </authors>
  <commentList>
    <comment ref="N4" authorId="0" shapeId="0" xr:uid="{0FE8FBAD-A969-47F1-8EF2-7C85C9813871}">
      <text>
        <r>
          <rPr>
            <b/>
            <sz val="9"/>
            <color indexed="81"/>
            <rFont val="Tahoma"/>
            <family val="2"/>
          </rPr>
          <t>CAMPO OBLIGATORIO</t>
        </r>
        <r>
          <rPr>
            <sz val="9"/>
            <color indexed="81"/>
            <rFont val="Tahoma"/>
            <family val="2"/>
          </rPr>
          <t xml:space="preserve">
SI NO TIENE CELULAR, COLOCAR EL DE SU EMPRESA.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" authorId="0" shapeId="0" xr:uid="{6D5FF85A-F42F-4891-A401-A88BE585A818}">
      <text>
        <r>
          <rPr>
            <b/>
            <sz val="9"/>
            <color rgb="FF000000"/>
            <rFont val="Tahoma"/>
            <family val="2"/>
          </rPr>
          <t>CAMPO OBLIGATORIO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SI NO TIENE CORREO, COLOCAR EL DE SU EMPRESA.
</t>
        </r>
      </text>
    </comment>
    <comment ref="P4" authorId="0" shapeId="0" xr:uid="{17492ADE-F311-4C78-8335-6C9B4853934D}">
      <text>
        <r>
          <rPr>
            <b/>
            <sz val="9"/>
            <color indexed="81"/>
            <rFont val="Tahoma"/>
            <family val="2"/>
          </rPr>
          <t>MINERA AURIFERA RETAMAS S.A.</t>
        </r>
      </text>
    </comment>
    <comment ref="Q4" authorId="0" shapeId="0" xr:uid="{E0D1AE21-1F4C-4E25-8C67-B0035BCA28F2}">
      <text>
        <r>
          <rPr>
            <b/>
            <sz val="9"/>
            <color indexed="81"/>
            <rFont val="Tahoma"/>
            <family val="2"/>
          </rPr>
          <t>SAN ANDRES</t>
        </r>
      </text>
    </comment>
    <comment ref="T4" authorId="0" shapeId="0" xr:uid="{A4A46C41-050A-4E45-8477-9C968B1168B1}">
      <text>
        <r>
          <rPr>
            <sz val="9"/>
            <color indexed="81"/>
            <rFont val="Tahoma"/>
            <family val="2"/>
          </rPr>
          <t xml:space="preserve">SUPERFICIE
SUBSUELO
</t>
        </r>
      </text>
    </comment>
    <comment ref="W4" authorId="0" shapeId="0" xr:uid="{0E74BA65-C2C2-4F09-B49A-83F559EA56B2}">
      <text>
        <r>
          <rPr>
            <b/>
            <sz val="9"/>
            <color indexed="81"/>
            <rFont val="Tahoma"/>
            <family val="2"/>
          </rPr>
          <t>EN LA UNIDAD
DIAS LIBRES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" authorId="0" shapeId="0" xr:uid="{3147B721-8048-4651-97F5-AE8272190E34}">
      <text>
        <r>
          <rPr>
            <sz val="9"/>
            <color indexed="81"/>
            <rFont val="Tahoma"/>
            <family val="2"/>
          </rPr>
          <t xml:space="preserve">SI ES PERSONAL A DESMOVILIZAR COLOCAR DESTINO (TRUJILLO, OTROS DE LA ZONA)
</t>
        </r>
      </text>
    </comment>
    <comment ref="AD4" authorId="0" shapeId="0" xr:uid="{6D5F23A6-954A-404B-9705-2D617A556FBA}">
      <text>
        <r>
          <rPr>
            <sz val="9"/>
            <color indexed="81"/>
            <rFont val="Tahoma"/>
            <family val="2"/>
          </rPr>
          <t xml:space="preserve">SAN ANDRES - BUENOS AIRES - CEO - CHILCAS OESTE
</t>
        </r>
      </text>
    </comment>
  </commentList>
</comments>
</file>

<file path=xl/sharedStrings.xml><?xml version="1.0" encoding="utf-8"?>
<sst xmlns="http://schemas.openxmlformats.org/spreadsheetml/2006/main" count="6129" uniqueCount="1443">
  <si>
    <t>N°</t>
  </si>
  <si>
    <t>SEDE</t>
  </si>
  <si>
    <t>CODIGO</t>
  </si>
  <si>
    <t>TIPO DOCUMENTO</t>
  </si>
  <si>
    <t>NRO DOCUMENTO</t>
  </si>
  <si>
    <t>APELLIDO PATERNO</t>
  </si>
  <si>
    <t>APELLIDO MATERNO</t>
  </si>
  <si>
    <t>NOMBRES</t>
  </si>
  <si>
    <t>APELLIDOS Y NOMBRES COMPLETOS
(NO TOCAR ESTA FILA)</t>
  </si>
  <si>
    <t>SEXO</t>
  </si>
  <si>
    <t>FECHA NACIMIENTO (dd/mm/aaaa)</t>
  </si>
  <si>
    <t>CELULAR</t>
  </si>
  <si>
    <t>CORREO</t>
  </si>
  <si>
    <t>COMPAÑÍA</t>
  </si>
  <si>
    <t>UNIDAD</t>
  </si>
  <si>
    <t>EMPRESA CONTRATISTA</t>
  </si>
  <si>
    <t>RUC 
(Empresa Contratista)</t>
  </si>
  <si>
    <t>ZONA DE TRABAJO</t>
  </si>
  <si>
    <t>AREA DE TRABAJO</t>
  </si>
  <si>
    <t>PUESTO</t>
  </si>
  <si>
    <t>UBICACIÓN</t>
  </si>
  <si>
    <t>DIRECCION</t>
  </si>
  <si>
    <t>DISTRITO</t>
  </si>
  <si>
    <t>PROVINCIA</t>
  </si>
  <si>
    <t>DEPARTAMENTO</t>
  </si>
  <si>
    <t>EDAD</t>
  </si>
  <si>
    <t>DESTINO</t>
  </si>
  <si>
    <t>SAN ANDRES</t>
  </si>
  <si>
    <t>DNI</t>
  </si>
  <si>
    <t>MASCULINO</t>
  </si>
  <si>
    <t>MINERA AURIFERA RETAMAS S.A.</t>
  </si>
  <si>
    <t>CAJAMARCA</t>
  </si>
  <si>
    <t>GRUPO CREDCO EMPRESA DE INGENIERIA, ARQUITECTURA Y CONSTRUCCION S.A.C.</t>
  </si>
  <si>
    <t>SUPERFICIE</t>
  </si>
  <si>
    <t>TRUJILLO</t>
  </si>
  <si>
    <t>CUEVA</t>
  </si>
  <si>
    <t>UNIDAD MINERA</t>
  </si>
  <si>
    <t>LIMA</t>
  </si>
  <si>
    <t>HERAS</t>
  </si>
  <si>
    <t>MINCHAN</t>
  </si>
  <si>
    <t>ROJAS</t>
  </si>
  <si>
    <t>JOSE WILSON</t>
  </si>
  <si>
    <t>AYUDANTE VIGIA</t>
  </si>
  <si>
    <t>COMAS</t>
  </si>
  <si>
    <t>TECNICO CIVIL</t>
  </si>
  <si>
    <t>LA LIBERTAD</t>
  </si>
  <si>
    <t>AYUDANTE TECNICO CIVIL</t>
  </si>
  <si>
    <t>CAHUANA</t>
  </si>
  <si>
    <t>CHUQUIMANGO</t>
  </si>
  <si>
    <t>EDILBERTO</t>
  </si>
  <si>
    <t>ASISTENTE TECNICO CIVIL</t>
  </si>
  <si>
    <t>CASTREJON</t>
  </si>
  <si>
    <t>LUCAS</t>
  </si>
  <si>
    <t>40756835</t>
  </si>
  <si>
    <t>TERAN</t>
  </si>
  <si>
    <t>HUAMAN</t>
  </si>
  <si>
    <t>OSCAR</t>
  </si>
  <si>
    <t>GUEVARA</t>
  </si>
  <si>
    <t>ARAUJO</t>
  </si>
  <si>
    <t>CRISTIAN BRISNEY</t>
  </si>
  <si>
    <t>MENDOZA</t>
  </si>
  <si>
    <t>MARRUFO</t>
  </si>
  <si>
    <t>PEDRO JORDY</t>
  </si>
  <si>
    <t>ULLOA</t>
  </si>
  <si>
    <t>VALVERDE</t>
  </si>
  <si>
    <t>JOSE DAVID</t>
  </si>
  <si>
    <t>REYES</t>
  </si>
  <si>
    <t>HERNANDEZ</t>
  </si>
  <si>
    <t>YEFRY ALFONSO</t>
  </si>
  <si>
    <t>CHILON</t>
  </si>
  <si>
    <t>FLORES</t>
  </si>
  <si>
    <t>INMER</t>
  </si>
  <si>
    <t>SANCHEZ</t>
  </si>
  <si>
    <t>MOSQUEIRA</t>
  </si>
  <si>
    <t>WALTER</t>
  </si>
  <si>
    <t>BOCANEGRA</t>
  </si>
  <si>
    <t>MIRANDA</t>
  </si>
  <si>
    <t>AYLTHON ELMAN</t>
  </si>
  <si>
    <t>ASISTENTE DE OBRA</t>
  </si>
  <si>
    <t>LINARES</t>
  </si>
  <si>
    <t>UGO BENITO</t>
  </si>
  <si>
    <t>MESTANZA</t>
  </si>
  <si>
    <t>CALDERON</t>
  </si>
  <si>
    <t>CARMELO</t>
  </si>
  <si>
    <t>DURAN</t>
  </si>
  <si>
    <t>CELESTINO</t>
  </si>
  <si>
    <t>CARRANZA</t>
  </si>
  <si>
    <t>MISAHUAMAN</t>
  </si>
  <si>
    <t>RONAL MIKI</t>
  </si>
  <si>
    <t>ISPILCO</t>
  </si>
  <si>
    <t>JOSE ELIGIO</t>
  </si>
  <si>
    <t>INFANTE</t>
  </si>
  <si>
    <t>NESTOR</t>
  </si>
  <si>
    <t>SALAZAR</t>
  </si>
  <si>
    <t>ARCE</t>
  </si>
  <si>
    <t>GINO</t>
  </si>
  <si>
    <t>LOPEZ</t>
  </si>
  <si>
    <t>GENARO</t>
  </si>
  <si>
    <t>TANTA</t>
  </si>
  <si>
    <t>MATEO</t>
  </si>
  <si>
    <t>TANTACHUCO</t>
  </si>
  <si>
    <t>JORGE JAVIER</t>
  </si>
  <si>
    <t>CAPATAZ</t>
  </si>
  <si>
    <t>CHICLAYO</t>
  </si>
  <si>
    <t>REQUE</t>
  </si>
  <si>
    <t>GC0000008</t>
  </si>
  <si>
    <t>40990473</t>
  </si>
  <si>
    <t xml:space="preserve">CUEVA </t>
  </si>
  <si>
    <t>LUIS</t>
  </si>
  <si>
    <t>OPERARIO CIVIL</t>
  </si>
  <si>
    <t>CASERIO PORCONCILLO</t>
  </si>
  <si>
    <t>HUAMACHUCO</t>
  </si>
  <si>
    <t>GC0000010</t>
  </si>
  <si>
    <t>72426561</t>
  </si>
  <si>
    <t>HAUMAN</t>
  </si>
  <si>
    <t>WILMER LUIS</t>
  </si>
  <si>
    <t>08067813</t>
  </si>
  <si>
    <t>MAYTA</t>
  </si>
  <si>
    <t>PACHECO</t>
  </si>
  <si>
    <t>ERICK ANTHONY</t>
  </si>
  <si>
    <t>GC0000001</t>
  </si>
  <si>
    <t>42293346</t>
  </si>
  <si>
    <t>erick.mayta@grupocredco.com</t>
  </si>
  <si>
    <t>PROYECTOS E INFRAESTUCTURA</t>
  </si>
  <si>
    <t>RESIDENTE DE OBRA</t>
  </si>
  <si>
    <t>URB. RAMON CASTILLA PSJ. JAEN 131</t>
  </si>
  <si>
    <t>ZAMORA</t>
  </si>
  <si>
    <t>LA TORRE</t>
  </si>
  <si>
    <t>EDUARDO HUMBERTO</t>
  </si>
  <si>
    <t>VERAMENDI</t>
  </si>
  <si>
    <t>ROBERTO GERMAN</t>
  </si>
  <si>
    <t>CULQUI</t>
  </si>
  <si>
    <t>EDGAR</t>
  </si>
  <si>
    <t>TUCTO</t>
  </si>
  <si>
    <t>ALFREDO</t>
  </si>
  <si>
    <t>BARDALES</t>
  </si>
  <si>
    <t>FRANKLIN</t>
  </si>
  <si>
    <t>JOEL BRAYAN</t>
  </si>
  <si>
    <t>PEÑA</t>
  </si>
  <si>
    <t>ROSMA ROEL</t>
  </si>
  <si>
    <t>COLORADO</t>
  </si>
  <si>
    <t>ESCOBAL</t>
  </si>
  <si>
    <t>RONALDINI</t>
  </si>
  <si>
    <t>CONDUCTORES</t>
  </si>
  <si>
    <t>CASERIO SOGORON BAJO MZ.L  LOT 5</t>
  </si>
  <si>
    <t>CASERIO CHIGDEN - SAN JUAN</t>
  </si>
  <si>
    <t>CASERIO  CHIGDEN-SAN JUAN</t>
  </si>
  <si>
    <t>PEON CIVIL</t>
  </si>
  <si>
    <t xml:space="preserve">ASOCIACION BELEN MZ. B LOT 21 </t>
  </si>
  <si>
    <t>PIURA</t>
  </si>
  <si>
    <t>CASTILLO</t>
  </si>
  <si>
    <t>CASERIO COLPA PORCON  BAJO KM. 13</t>
  </si>
  <si>
    <t xml:space="preserve">CASERIO LAGUNA SANTA URSULA </t>
  </si>
  <si>
    <t>GUZMAN</t>
  </si>
  <si>
    <t>SEGUNDO</t>
  </si>
  <si>
    <t>LLOVERA</t>
  </si>
  <si>
    <t>MICHAN</t>
  </si>
  <si>
    <t>SAMUEL SEGUNDO</t>
  </si>
  <si>
    <t>CONDUCTOR DE CAMIONETA</t>
  </si>
  <si>
    <t>CONDUCTOR DE CAMION 1</t>
  </si>
  <si>
    <t>CONDUCTOR DE CAMION 2</t>
  </si>
  <si>
    <t>GC0000002</t>
  </si>
  <si>
    <t>GC0000003</t>
  </si>
  <si>
    <t>GC0000006</t>
  </si>
  <si>
    <t>GC0000009</t>
  </si>
  <si>
    <t>GC0000005</t>
  </si>
  <si>
    <t>GC0000011</t>
  </si>
  <si>
    <t>GC0000007</t>
  </si>
  <si>
    <t>GC0000004</t>
  </si>
  <si>
    <t>GC0000018</t>
  </si>
  <si>
    <t>GC0000020</t>
  </si>
  <si>
    <t>GC0000017</t>
  </si>
  <si>
    <t>GC0000015</t>
  </si>
  <si>
    <t>GC0000016</t>
  </si>
  <si>
    <t>GC0000019</t>
  </si>
  <si>
    <t>GC0000021</t>
  </si>
  <si>
    <t>GC0000023</t>
  </si>
  <si>
    <t>GC0000012</t>
  </si>
  <si>
    <t>GC0000013</t>
  </si>
  <si>
    <t>GC0000022</t>
  </si>
  <si>
    <t>JR. BOLIVAR 341</t>
  </si>
  <si>
    <t>FERNANDO MANUEL</t>
  </si>
  <si>
    <t>LIMAY</t>
  </si>
  <si>
    <t>VALIENTE</t>
  </si>
  <si>
    <t>WILFREDO</t>
  </si>
  <si>
    <t>LLANOS</t>
  </si>
  <si>
    <t>GARCIA</t>
  </si>
  <si>
    <t>ALEX</t>
  </si>
  <si>
    <t>EVERY EULICES</t>
  </si>
  <si>
    <t>VILCA</t>
  </si>
  <si>
    <t>AQUINO</t>
  </si>
  <si>
    <t>MIGUEL ANGEL</t>
  </si>
  <si>
    <t>RUIZ</t>
  </si>
  <si>
    <t>QUEZADA</t>
  </si>
  <si>
    <t>CARLOS MANUEL</t>
  </si>
  <si>
    <t>AVILA</t>
  </si>
  <si>
    <t>RODRIGUEZ</t>
  </si>
  <si>
    <t>AMERICO</t>
  </si>
  <si>
    <t>SORIA</t>
  </si>
  <si>
    <t>MENDEZ</t>
  </si>
  <si>
    <t>LLAJARUNA</t>
  </si>
  <si>
    <t>JOSE ARMANDO</t>
  </si>
  <si>
    <t>CHICAMA</t>
  </si>
  <si>
    <t>ASCOPE</t>
  </si>
  <si>
    <t>INELSON</t>
  </si>
  <si>
    <t xml:space="preserve">VILCA </t>
  </si>
  <si>
    <t>CONDOR</t>
  </si>
  <si>
    <t>Centro Poblado Porcon Bajo</t>
  </si>
  <si>
    <t>Jr. Los eucaliptos s/n - Barrio Santa Elena Alta</t>
  </si>
  <si>
    <t>Caserio chigden</t>
  </si>
  <si>
    <t>Centro Poblado Tual</t>
  </si>
  <si>
    <t>Jiron los frailones S/N Lt. Los Angeles</t>
  </si>
  <si>
    <t>Jiron Los Cantares 119</t>
  </si>
  <si>
    <t xml:space="preserve">Jose Balta 145 </t>
  </si>
  <si>
    <t xml:space="preserve">Jr Jose Quiñones 707 </t>
  </si>
  <si>
    <t xml:space="preserve">CA. Caserio Unigan </t>
  </si>
  <si>
    <t xml:space="preserve">Psj. El Carme s/n </t>
  </si>
  <si>
    <t>Caserio Moyococha</t>
  </si>
  <si>
    <t>Cruze de Diego Ferrer y Petateros</t>
  </si>
  <si>
    <t>Huambocancha baja</t>
  </si>
  <si>
    <t xml:space="preserve">Cajamarca la paccha sin número </t>
  </si>
  <si>
    <t>GC0000028</t>
  </si>
  <si>
    <t>GC0000030</t>
  </si>
  <si>
    <t>GC0000026</t>
  </si>
  <si>
    <t>GC0000031</t>
  </si>
  <si>
    <t>GC0000029</t>
  </si>
  <si>
    <t>GC0000032</t>
  </si>
  <si>
    <t>GC0000034</t>
  </si>
  <si>
    <t>GC0000024</t>
  </si>
  <si>
    <t>eduardo.zamora@grupocredco.com</t>
  </si>
  <si>
    <t>15/09/1980</t>
  </si>
  <si>
    <t>24/04/1991</t>
  </si>
  <si>
    <t>RENUNCIO</t>
  </si>
  <si>
    <t>roberto.veramendi@gruócredco.com</t>
  </si>
  <si>
    <t>CANALES ULLOA ITALO ROMARIO</t>
  </si>
  <si>
    <t>22/03/1997</t>
  </si>
  <si>
    <t>CHICLIN</t>
  </si>
  <si>
    <t>PEON  CIVIL</t>
  </si>
  <si>
    <t xml:space="preserve">FERNANDEZ </t>
  </si>
  <si>
    <t>CANAN</t>
  </si>
  <si>
    <t>FERNANDEZ CANAN FERNANDO MANUEL</t>
  </si>
  <si>
    <t>GC0000055</t>
  </si>
  <si>
    <t xml:space="preserve">CANALES </t>
  </si>
  <si>
    <t>ITALO ROMARIO</t>
  </si>
  <si>
    <t xml:space="preserve">SAENZ </t>
  </si>
  <si>
    <t>ALEXIS ALFREDO</t>
  </si>
  <si>
    <t>SAENZ CASTILLO ALEXIS ALFREDO</t>
  </si>
  <si>
    <t>29/04/1987</t>
  </si>
  <si>
    <t>Calle Bolognesi 5 Sector-Sintuco</t>
  </si>
  <si>
    <t>CHOCOPE</t>
  </si>
  <si>
    <t>GC0000054</t>
  </si>
  <si>
    <t>GC0000049</t>
  </si>
  <si>
    <t>GC0000050</t>
  </si>
  <si>
    <t>GC0000048</t>
  </si>
  <si>
    <t>GC0000051</t>
  </si>
  <si>
    <t>GC0000045</t>
  </si>
  <si>
    <t>GC0000047</t>
  </si>
  <si>
    <t>GC0000056</t>
  </si>
  <si>
    <t>GC0000044</t>
  </si>
  <si>
    <t>GC0000042</t>
  </si>
  <si>
    <t>GC0000043</t>
  </si>
  <si>
    <t xml:space="preserve">JUAN CARLOS </t>
  </si>
  <si>
    <t>SALAZAR CONDOR JUAN CARLOS</t>
  </si>
  <si>
    <t>Caserio Shudal</t>
  </si>
  <si>
    <t xml:space="preserve">YOPLA </t>
  </si>
  <si>
    <t>SAMUEL</t>
  </si>
  <si>
    <t>YOPLA CHUQUIMANGO</t>
  </si>
  <si>
    <t>11/06/1999</t>
  </si>
  <si>
    <t>24/01/1997</t>
  </si>
  <si>
    <t>Jr. Alejandro Ortiz n° 210</t>
  </si>
  <si>
    <t>AYAY</t>
  </si>
  <si>
    <t xml:space="preserve">JUAN </t>
  </si>
  <si>
    <t>Caserio chilimpampa</t>
  </si>
  <si>
    <t>CABANILLAS</t>
  </si>
  <si>
    <t>MERLO</t>
  </si>
  <si>
    <t>MAGNO</t>
  </si>
  <si>
    <t>CABANILLAS MERLO MAGNO</t>
  </si>
  <si>
    <t>03/09/1968</t>
  </si>
  <si>
    <t>08/09/1990</t>
  </si>
  <si>
    <t>CONDUCTOR</t>
  </si>
  <si>
    <t>Jr. M. Quiroz L 22</t>
  </si>
  <si>
    <t>SAN PABLO</t>
  </si>
  <si>
    <t>GC0000027</t>
  </si>
  <si>
    <t>GC0000046</t>
  </si>
  <si>
    <t>AV. LA MARINA 46 PISO 1 CURVA SUN</t>
  </si>
  <si>
    <t>OFICIAL CIVIL</t>
  </si>
  <si>
    <t>Lluscapampa El Granero</t>
  </si>
  <si>
    <t>GC0000063</t>
  </si>
  <si>
    <t>GC0000064</t>
  </si>
  <si>
    <t>GC0000057</t>
  </si>
  <si>
    <t>AFILIADO</t>
  </si>
  <si>
    <t xml:space="preserve">TAICA </t>
  </si>
  <si>
    <t>GILMER</t>
  </si>
  <si>
    <t>LOS BAÑOS DEL INCA</t>
  </si>
  <si>
    <t>La Molina Baños del Inca</t>
  </si>
  <si>
    <t xml:space="preserve">MEJIA </t>
  </si>
  <si>
    <t>ZAVALETA</t>
  </si>
  <si>
    <t>ELBER EDEN</t>
  </si>
  <si>
    <t>MEJIA ZAVALETA ELBER EDEN</t>
  </si>
  <si>
    <t>Centro Poblado Iscoconga</t>
  </si>
  <si>
    <t>BAMBAMARCA</t>
  </si>
  <si>
    <t>HUALGAYOC</t>
  </si>
  <si>
    <t>ayltbm@gmail.com. RENUNCIO</t>
  </si>
  <si>
    <t>23/03/1993</t>
  </si>
  <si>
    <t xml:space="preserve">QUINTANA </t>
  </si>
  <si>
    <t>MILVER YOEL</t>
  </si>
  <si>
    <t>PALMA</t>
  </si>
  <si>
    <t>QUINTANA  PALMA MILVAR YOEL</t>
  </si>
  <si>
    <t>13/05/2001</t>
  </si>
  <si>
    <t>Centro Poblado Santa Barbara</t>
  </si>
  <si>
    <t>GUARNIZ</t>
  </si>
  <si>
    <t>ALBERTO LEONEL</t>
  </si>
  <si>
    <t>GURANIZ MARIÑOS  ALBERTO LEONEL</t>
  </si>
  <si>
    <t>AA.HH. Alan Garcia Mz.Glot. 3</t>
  </si>
  <si>
    <t xml:space="preserve">AA.HH 11 de Febrero, Mz. C Lt. 24 </t>
  </si>
  <si>
    <t xml:space="preserve">AA.HH La Pascona Mz. B lt. 03 </t>
  </si>
  <si>
    <t>Calle Ricardo Palma AA. HH. 11 de febrero Mz. C  Lot. 7</t>
  </si>
  <si>
    <t xml:space="preserve">Las Diamelas s/n Urb. El Molino </t>
  </si>
  <si>
    <t xml:space="preserve">Jr. Mariategui 197 </t>
  </si>
  <si>
    <t xml:space="preserve">Jose Olaya N# 20 </t>
  </si>
  <si>
    <t>CHEPEN</t>
  </si>
  <si>
    <t xml:space="preserve">Quinta Alex Mz. A L. 21 </t>
  </si>
  <si>
    <t>OYOTUN</t>
  </si>
  <si>
    <t xml:space="preserve">Caserio Las Delicias </t>
  </si>
  <si>
    <t xml:space="preserve">Granja Porcon </t>
  </si>
  <si>
    <t>OYUTUN</t>
  </si>
  <si>
    <t>Av. Miguel de Cervantes 249</t>
  </si>
  <si>
    <t xml:space="preserve">Calle Francia 40 </t>
  </si>
  <si>
    <t xml:space="preserve">Caserio Tres Molinos Parte Alta. </t>
  </si>
  <si>
    <t xml:space="preserve">Jr. Ramon Castilla </t>
  </si>
  <si>
    <t>HUANCHACO</t>
  </si>
  <si>
    <t xml:space="preserve">Mz. 11 lt. 11 Sector 5, El milagro </t>
  </si>
  <si>
    <t xml:space="preserve">Progreso N° 25 </t>
  </si>
  <si>
    <t>LAMBAYEQUE</t>
  </si>
  <si>
    <t>PEONCIVIL</t>
  </si>
  <si>
    <t>CUEVA HUAMAN WALTER</t>
  </si>
  <si>
    <t>Caserio Porconcillo Alto</t>
  </si>
  <si>
    <t xml:space="preserve">TAPIA </t>
  </si>
  <si>
    <t>BOÑON</t>
  </si>
  <si>
    <t>BILLY GERSON</t>
  </si>
  <si>
    <t>TAPIA GOÑON BILLY GERSON</t>
  </si>
  <si>
    <t>23/12/2000</t>
  </si>
  <si>
    <t>Jr. La Victoria N° 102</t>
  </si>
  <si>
    <t xml:space="preserve">DUCOS </t>
  </si>
  <si>
    <t>DE LA CRUZ</t>
  </si>
  <si>
    <t>VENJAMIN</t>
  </si>
  <si>
    <t>DUCOS DE LA CRUZ VENJAMIN</t>
  </si>
  <si>
    <t>20/01/1995</t>
  </si>
  <si>
    <t xml:space="preserve">VALDIVIA </t>
  </si>
  <si>
    <t>ROBERTO</t>
  </si>
  <si>
    <t>VALDIVIA HUAMAN ROBERTO</t>
  </si>
  <si>
    <t>08/12/1991</t>
  </si>
  <si>
    <t>OPERARIO CARPINTERO</t>
  </si>
  <si>
    <t>Caserio Plan Porcillo</t>
  </si>
  <si>
    <t xml:space="preserve">VILLAREAL </t>
  </si>
  <si>
    <t>SOLORZANO</t>
  </si>
  <si>
    <t>TADASHY JUAN</t>
  </si>
  <si>
    <t>VILLAREAL SOLORZANO TADASHY</t>
  </si>
  <si>
    <t>Lotizacion Chiclin Calle España N° 16</t>
  </si>
  <si>
    <t>20/05/2000</t>
  </si>
  <si>
    <t>08/04/1998</t>
  </si>
  <si>
    <t>GC0000065</t>
  </si>
  <si>
    <t>GC0000066</t>
  </si>
  <si>
    <t>GASTOLOMENDO</t>
  </si>
  <si>
    <t>INFANTE GASTOLOMENDO RAVID</t>
  </si>
  <si>
    <t>15/05/1995</t>
  </si>
  <si>
    <t>Centro Polbladop Porcon Alto</t>
  </si>
  <si>
    <t>966418312/992358966</t>
  </si>
  <si>
    <t>ELMER</t>
  </si>
  <si>
    <t xml:space="preserve">CHILON TERAN ELMER </t>
  </si>
  <si>
    <t>27/12/1997</t>
  </si>
  <si>
    <t>Centro Poblado Porcon Alto</t>
  </si>
  <si>
    <t xml:space="preserve">TERAN </t>
  </si>
  <si>
    <t>REVILLA</t>
  </si>
  <si>
    <t>NORBERTO</t>
  </si>
  <si>
    <t>Jr. Angamos 646</t>
  </si>
  <si>
    <t>RAVID</t>
  </si>
  <si>
    <t>GC0000068</t>
  </si>
  <si>
    <t>GC0000069</t>
  </si>
  <si>
    <t>GC0000070</t>
  </si>
  <si>
    <t>GC0000071</t>
  </si>
  <si>
    <t>GC0000067</t>
  </si>
  <si>
    <t xml:space="preserve">JAVIER </t>
  </si>
  <si>
    <t xml:space="preserve">VILLANUEVA </t>
  </si>
  <si>
    <t>VILLANUEVA RODRIGUEZ JAVIER</t>
  </si>
  <si>
    <t xml:space="preserve">CASTREJON </t>
  </si>
  <si>
    <t>CUEVA CASTREJON ALEJANDRO</t>
  </si>
  <si>
    <t>ALEJANDRO</t>
  </si>
  <si>
    <t xml:space="preserve">MENDEZ </t>
  </si>
  <si>
    <t>WILDON FARMANI</t>
  </si>
  <si>
    <t>MENDEZ SANCHEZ WILDON FARMANI</t>
  </si>
  <si>
    <t>JR. LOS CEDROS N° 265 URB. SANTA ROSA</t>
  </si>
  <si>
    <t>CASARIO MANZANAS ALTO</t>
  </si>
  <si>
    <t>AA.HH. 11 FEBRERO MZ. C LT. 07</t>
  </si>
  <si>
    <t>GC0000072</t>
  </si>
  <si>
    <t>MARIÑO</t>
  </si>
  <si>
    <t>GC0000073</t>
  </si>
  <si>
    <t>POMPA</t>
  </si>
  <si>
    <t>NELSON ELVIS</t>
  </si>
  <si>
    <t>CALLE LOS PINOS 449</t>
  </si>
  <si>
    <t xml:space="preserve">CONDOR </t>
  </si>
  <si>
    <t xml:space="preserve">JOSUE LUIS </t>
  </si>
  <si>
    <t xml:space="preserve">VILCA CONDOR JOSUE LUIS </t>
  </si>
  <si>
    <t xml:space="preserve">SANCHEZ </t>
  </si>
  <si>
    <t>FERNANDEZ</t>
  </si>
  <si>
    <t>HECTOR</t>
  </si>
  <si>
    <t>SANCHEZ FERNANDEZ HECTOR</t>
  </si>
  <si>
    <t>CHOFER</t>
  </si>
  <si>
    <t>JR. CALISCUPIO</t>
  </si>
  <si>
    <t>AV. MIGUEL DE CERVANTES SAAVEDRA # 537</t>
  </si>
  <si>
    <t>GC0000075</t>
  </si>
  <si>
    <t>GC0000074</t>
  </si>
  <si>
    <t>GC0000077</t>
  </si>
  <si>
    <t>GC0000078</t>
  </si>
  <si>
    <t>GC0000076</t>
  </si>
  <si>
    <t xml:space="preserve">ALVARADO </t>
  </si>
  <si>
    <t>VICTOR ABEL</t>
  </si>
  <si>
    <t>AV. SAN MARTIN 1920</t>
  </si>
  <si>
    <t>LA ENCALADA</t>
  </si>
  <si>
    <t xml:space="preserve">CRISTHIAN ALEXADER </t>
  </si>
  <si>
    <t>VILCA AQUINO CRISTHIAN ALEXADER</t>
  </si>
  <si>
    <t>JR. RAMON CASTILLA 593</t>
  </si>
  <si>
    <t xml:space="preserve">CABANILLAS </t>
  </si>
  <si>
    <t>CARLOS MAGNO</t>
  </si>
  <si>
    <t>JR. AYACUCHO 309  BARRIO SAN SEBASTIAN</t>
  </si>
  <si>
    <t>GC0000080</t>
  </si>
  <si>
    <t>GC0000079</t>
  </si>
  <si>
    <t>ENCARNACION</t>
  </si>
  <si>
    <t>ARANDA</t>
  </si>
  <si>
    <t xml:space="preserve">DAVID </t>
  </si>
  <si>
    <t>ENCARNACION ARANDA DAVIS</t>
  </si>
  <si>
    <t>AV. PARANSHI 14 CASERIO QUINTA ALTA</t>
  </si>
  <si>
    <t xml:space="preserve">SANCHEZ CARRION </t>
  </si>
  <si>
    <t>PASAJE SAN MARCOS S/N</t>
  </si>
  <si>
    <t xml:space="preserve">ESCAMILO </t>
  </si>
  <si>
    <t>FELIX ANATOLIO</t>
  </si>
  <si>
    <t>ESCAMILO RUIZ FELIX ANATOLIO</t>
  </si>
  <si>
    <t>GC0000081</t>
  </si>
  <si>
    <t>GC0000082</t>
  </si>
  <si>
    <t>QUISPE</t>
  </si>
  <si>
    <t>ESGARDO LEONARDO</t>
  </si>
  <si>
    <t>VILCA QUISPE ESGARDO LEONARDO</t>
  </si>
  <si>
    <t>JR. ALFONSO UGARTE-PJE. URUBAMBA 157</t>
  </si>
  <si>
    <t>GC0000083</t>
  </si>
  <si>
    <t xml:space="preserve">AYAY </t>
  </si>
  <si>
    <t>SANTOS</t>
  </si>
  <si>
    <t>CHUQUIMANGO AYAY SANTOS</t>
  </si>
  <si>
    <t xml:space="preserve">CASERIO CHILIMPAMPA </t>
  </si>
  <si>
    <t>GC0000084</t>
  </si>
  <si>
    <t>ARIAS</t>
  </si>
  <si>
    <t>CAMPOS</t>
  </si>
  <si>
    <t>HUACCHA</t>
  </si>
  <si>
    <t>WILMER</t>
  </si>
  <si>
    <t>ALCANTARA</t>
  </si>
  <si>
    <t>SAUCEDO</t>
  </si>
  <si>
    <t>VICTOR HUGO</t>
  </si>
  <si>
    <t>ALEXIS PABLITO</t>
  </si>
  <si>
    <t>CAMPOS ALCANTARA VICTOR HUGO</t>
  </si>
  <si>
    <t>PACASMAYO</t>
  </si>
  <si>
    <t>SANCHEZ CARRION</t>
  </si>
  <si>
    <t>CASERIO PARANSHIQUE LOT 34</t>
  </si>
  <si>
    <t>A.A.H.H. DE OCTUBRE MZ.G LOT. 08 ANEXO ROMA</t>
  </si>
  <si>
    <t>AV. CAJAMARCA SECTOR SANTA LUISA- LIMONCARRO</t>
  </si>
  <si>
    <t>HUACCHA SAUCEDO ALEXIS PABLITO</t>
  </si>
  <si>
    <t>GC0000086</t>
  </si>
  <si>
    <t>GC0000085</t>
  </si>
  <si>
    <t xml:space="preserve">MONZON </t>
  </si>
  <si>
    <t xml:space="preserve">CARUAJULCA </t>
  </si>
  <si>
    <t>CARLOS FERNANDO</t>
  </si>
  <si>
    <t xml:space="preserve">JR. HOYOS  N° 030 </t>
  </si>
  <si>
    <t xml:space="preserve">PISCO </t>
  </si>
  <si>
    <t>VEGA</t>
  </si>
  <si>
    <t>NEHEMIAS</t>
  </si>
  <si>
    <t>PISCO VEGA NEHEMIAS</t>
  </si>
  <si>
    <t>JR. ALFONSO UGARTE N° 1682</t>
  </si>
  <si>
    <t>PERSONAL DE BAJA</t>
  </si>
  <si>
    <t>OBSERVACIONES</t>
  </si>
  <si>
    <t>FECHA  DE INGRESO</t>
  </si>
  <si>
    <t>FECHA DE BAJA</t>
  </si>
  <si>
    <t>MONZON CARUAJULCA CARLOS FERNANDO</t>
  </si>
  <si>
    <t>A.A. HH. "VALLE HERMOSO" 3ERA ZONA COLLIQUE-COMAS</t>
  </si>
  <si>
    <t>SUBE 4/01/2022</t>
  </si>
  <si>
    <t>SUBE 06/012022</t>
  </si>
  <si>
    <t>SALAZAR ARCE GINO</t>
  </si>
  <si>
    <t>SALAZAR ARCE PABLO CESAR</t>
  </si>
  <si>
    <t>JOSE QUIÑONES N° 257 SANTA ELENA</t>
  </si>
  <si>
    <t>PABLO CESAR</t>
  </si>
  <si>
    <t>CASERIO CHIGDEN -SAN JUAN</t>
  </si>
  <si>
    <t>GC0000089</t>
  </si>
  <si>
    <t>GC0000090</t>
  </si>
  <si>
    <t>GC0000088</t>
  </si>
  <si>
    <t>GINO WILBERTO</t>
  </si>
  <si>
    <t>GABRIEL</t>
  </si>
  <si>
    <t>TOLEDO</t>
  </si>
  <si>
    <t>SILVERIO SALVADOR</t>
  </si>
  <si>
    <t>GABRIEL TOLEDO SILVERIO SALVADOR</t>
  </si>
  <si>
    <t>PASAJE ATAHUALPA N° 662</t>
  </si>
  <si>
    <t xml:space="preserve">NARRO </t>
  </si>
  <si>
    <t>MANUEL GIAN MARCO</t>
  </si>
  <si>
    <t>NARRO HUAMAN MANUEL GIAN MARCO</t>
  </si>
  <si>
    <t>URB. LOS JAZMINES MZ. Q LOT.10</t>
  </si>
  <si>
    <t xml:space="preserve">CABALLERO </t>
  </si>
  <si>
    <t>AGUILAR</t>
  </si>
  <si>
    <t>LA GRAMA MZ. B LOT.3</t>
  </si>
  <si>
    <t xml:space="preserve">MENDOZA </t>
  </si>
  <si>
    <t>EFRAIN NOHELITO</t>
  </si>
  <si>
    <t>JR. AYACUCHO N° 304</t>
  </si>
  <si>
    <t>COSIPAN</t>
  </si>
  <si>
    <t>PERCY ELVIS</t>
  </si>
  <si>
    <t xml:space="preserve">SAN JUAN </t>
  </si>
  <si>
    <t>CASERIO LA LAGUNA</t>
  </si>
  <si>
    <t>CLÍNICA</t>
  </si>
  <si>
    <t>CENTRO MEDICO</t>
  </si>
  <si>
    <t>FECHA DE ATENCION (dd/mm/yyyy)</t>
  </si>
  <si>
    <t>STATUS
P1, P2, P3, P4, INMUNE</t>
  </si>
  <si>
    <t>DATOS ADICIONALES A LLENAR</t>
  </si>
  <si>
    <t>GC0000094</t>
  </si>
  <si>
    <t>GC0000093</t>
  </si>
  <si>
    <t>GC0000092</t>
  </si>
  <si>
    <t>BLONDET</t>
  </si>
  <si>
    <t>LUIS II</t>
  </si>
  <si>
    <t xml:space="preserve">CHICLAYO </t>
  </si>
  <si>
    <t>JOSE LEONARDO ORTIZ</t>
  </si>
  <si>
    <t>26/11/2021-19.01.2022</t>
  </si>
  <si>
    <t>CUEVA HUAMAN WILMER LUIS</t>
  </si>
  <si>
    <t>CASERIO CHUGUE PAMPA</t>
  </si>
  <si>
    <t>JOSBERTH BERLAY</t>
  </si>
  <si>
    <t>CABALLERO AGUILAR JOSBERTH BERLAY</t>
  </si>
  <si>
    <t>GC0000096</t>
  </si>
  <si>
    <t xml:space="preserve">LIMAY </t>
  </si>
  <si>
    <t>LIMAY VALIENTE GENARO</t>
  </si>
  <si>
    <t>CASERIO LLUSHCAPAMPA EL GRANERO</t>
  </si>
  <si>
    <t>LEON</t>
  </si>
  <si>
    <t>MARTIN</t>
  </si>
  <si>
    <t>LEON VEGA MARTIN</t>
  </si>
  <si>
    <t>CASERIO NUEVA VICTORIA</t>
  </si>
  <si>
    <t>GC0000097</t>
  </si>
  <si>
    <t xml:space="preserve">VILLALOBOS </t>
  </si>
  <si>
    <t>LAVADO</t>
  </si>
  <si>
    <t>JHONATHAN JUNIOR</t>
  </si>
  <si>
    <t>VILLALOBOS LAVADO JHONATHAN JUNIOR</t>
  </si>
  <si>
    <t>LARCO N4 CHICLIN</t>
  </si>
  <si>
    <t>GC0000100</t>
  </si>
  <si>
    <t>GC0000099</t>
  </si>
  <si>
    <t>GC0000101</t>
  </si>
  <si>
    <t xml:space="preserve">CAMPOS </t>
  </si>
  <si>
    <t xml:space="preserve">FLORES </t>
  </si>
  <si>
    <t>ANTONIO</t>
  </si>
  <si>
    <t>CASERIO COIPIN</t>
  </si>
  <si>
    <t>HERNANDEZ TERAN HENRRY WILLY</t>
  </si>
  <si>
    <t>GC0000104</t>
  </si>
  <si>
    <t xml:space="preserve">INFANTE </t>
  </si>
  <si>
    <t xml:space="preserve">HUAMAN </t>
  </si>
  <si>
    <t>ELMER JAVIER</t>
  </si>
  <si>
    <t>HENRRY WILLY</t>
  </si>
  <si>
    <t>GC0000103</t>
  </si>
  <si>
    <t>UBR. SAN CARLOS JR. SAN MATEO 157</t>
  </si>
  <si>
    <t>GC0000102</t>
  </si>
  <si>
    <t>PASAJE SAN LORENZO LOTIZ COLUMBO</t>
  </si>
  <si>
    <t>CASERIO MANZANAS ALTO</t>
  </si>
  <si>
    <t>PRADO</t>
  </si>
  <si>
    <t>GARAY</t>
  </si>
  <si>
    <t>LENER JHONY</t>
  </si>
  <si>
    <t>PRADO GARAY LENER JHONY</t>
  </si>
  <si>
    <t>JR. MOLINO 135</t>
  </si>
  <si>
    <t>GC0000105</t>
  </si>
  <si>
    <t>GC0000106</t>
  </si>
  <si>
    <t>GC0000107</t>
  </si>
  <si>
    <t xml:space="preserve">MESTANZA </t>
  </si>
  <si>
    <t>MESTANZA CALDERON CARMELO</t>
  </si>
  <si>
    <t>14/0771979</t>
  </si>
  <si>
    <t>RAMIREZ</t>
  </si>
  <si>
    <t>OSVER MAIKY</t>
  </si>
  <si>
    <t>HUAMAN RAMIREZ OSVER MAIKY</t>
  </si>
  <si>
    <t>GC0000108</t>
  </si>
  <si>
    <t xml:space="preserve">RUIZ </t>
  </si>
  <si>
    <t xml:space="preserve">URIARTE </t>
  </si>
  <si>
    <t>DARWIN</t>
  </si>
  <si>
    <t>ARRIBASPLATA</t>
  </si>
  <si>
    <t>YEISON ANTONI</t>
  </si>
  <si>
    <t xml:space="preserve">FLORIAN </t>
  </si>
  <si>
    <t>EDSON FLAVIO</t>
  </si>
  <si>
    <t>SANGAY</t>
  </si>
  <si>
    <t xml:space="preserve">QUITO </t>
  </si>
  <si>
    <t>JOSE</t>
  </si>
  <si>
    <t>SANGAY QUITO JOSE</t>
  </si>
  <si>
    <t>JULCAMORO</t>
  </si>
  <si>
    <t>ORNAN JOSUE</t>
  </si>
  <si>
    <t>JULCAMORO MISAHUAMAN ORNAN JOSUE</t>
  </si>
  <si>
    <t xml:space="preserve">CHILON </t>
  </si>
  <si>
    <t>SORIANO</t>
  </si>
  <si>
    <t xml:space="preserve">VICTOR </t>
  </si>
  <si>
    <t>CHILON SORIANO VICTOR</t>
  </si>
  <si>
    <t>AV. MIGUEL DE CERVANTES 398</t>
  </si>
  <si>
    <t>AV.PERU 1273</t>
  </si>
  <si>
    <t>CASERIO PUEBLO NUEVO</t>
  </si>
  <si>
    <t>JR. MISION JAPONESA 150</t>
  </si>
  <si>
    <t>PJE. LA RIVERA 170</t>
  </si>
  <si>
    <t>CASERIO CHILIMPAMPA</t>
  </si>
  <si>
    <t>GC0000110</t>
  </si>
  <si>
    <t>GC0000111</t>
  </si>
  <si>
    <t>GC0000112</t>
  </si>
  <si>
    <t>GC0000109</t>
  </si>
  <si>
    <t xml:space="preserve">CARHUAPOMA </t>
  </si>
  <si>
    <t>VARGAS</t>
  </si>
  <si>
    <t>OSWALDO</t>
  </si>
  <si>
    <t xml:space="preserve">SANGAY </t>
  </si>
  <si>
    <t>CRISTIAN</t>
  </si>
  <si>
    <t xml:space="preserve">BUSTAMANTE </t>
  </si>
  <si>
    <t>TERRONES</t>
  </si>
  <si>
    <t>PRESBITERO</t>
  </si>
  <si>
    <t>QUIROZ</t>
  </si>
  <si>
    <t xml:space="preserve">PAICO </t>
  </si>
  <si>
    <t>LUIS ALBERTO</t>
  </si>
  <si>
    <t>BUSTAMANTE TERRONES PRESBITERO</t>
  </si>
  <si>
    <t>QUIROZ PAICO LUIS ALBERTO</t>
  </si>
  <si>
    <t>GC0000113</t>
  </si>
  <si>
    <t>GC0000114</t>
  </si>
  <si>
    <t>GC0000115</t>
  </si>
  <si>
    <t>GC0000116</t>
  </si>
  <si>
    <t>GC0000117</t>
  </si>
  <si>
    <t>GC0000118</t>
  </si>
  <si>
    <t>CALLE SAN FRANCISCO 739-URRUNAGA</t>
  </si>
  <si>
    <t>JR. MISION JAPONES 150</t>
  </si>
  <si>
    <t>CASERIO AGOPAMPA ALTA</t>
  </si>
  <si>
    <t>COMUNIDAD NEGROPAMPA ALTO CHOTA</t>
  </si>
  <si>
    <t>GUALGAYOC</t>
  </si>
  <si>
    <t>7/08/2021- 17/08/2022</t>
  </si>
  <si>
    <t>GC0000119</t>
  </si>
  <si>
    <t>MOSQUERA</t>
  </si>
  <si>
    <t>QUIJANO</t>
  </si>
  <si>
    <t>RICARDO SAMUEL</t>
  </si>
  <si>
    <t>MOSQUERA QUIJANO RICARDO SAMUEL</t>
  </si>
  <si>
    <t xml:space="preserve">RAFAEL HOYOS RUBIOS </t>
  </si>
  <si>
    <t>MARCELO</t>
  </si>
  <si>
    <t xml:space="preserve">ELMER </t>
  </si>
  <si>
    <t>SANCHEZ MARCELO ELMER</t>
  </si>
  <si>
    <t>JR. LOS PINOS 903</t>
  </si>
  <si>
    <t>SANGAY QUITO CRISTIAN</t>
  </si>
  <si>
    <t xml:space="preserve">CHUQUILIN </t>
  </si>
  <si>
    <t>ESPINOZA</t>
  </si>
  <si>
    <t>CHUQUILIN ESPINOZA ALINDOR</t>
  </si>
  <si>
    <t>ALINDOR</t>
  </si>
  <si>
    <t>REQUEJO</t>
  </si>
  <si>
    <t>ABDIAS</t>
  </si>
  <si>
    <t>SANCHEZ REQUEJO ABDIAS</t>
  </si>
  <si>
    <t xml:space="preserve">VASQUEZ </t>
  </si>
  <si>
    <t>WILLIAM JOEL</t>
  </si>
  <si>
    <t>JARA</t>
  </si>
  <si>
    <t>FREDY</t>
  </si>
  <si>
    <t>VASQUEZ HUAMAN WILLIAN JOEL</t>
  </si>
  <si>
    <t>SANGAY JARA FREDY</t>
  </si>
  <si>
    <t>CENTRO POBLADO PAMPA CUYOC</t>
  </si>
  <si>
    <t>LLAPA</t>
  </si>
  <si>
    <t>SAN MIGUEL</t>
  </si>
  <si>
    <t>CASERIO SAN MIGUEL</t>
  </si>
  <si>
    <t>JR. CALISPUQUIO  N° 377</t>
  </si>
  <si>
    <t>CASERIO AYLAMBO</t>
  </si>
  <si>
    <t>GC0000120</t>
  </si>
  <si>
    <t>GC0000122</t>
  </si>
  <si>
    <t>GC0000124</t>
  </si>
  <si>
    <t>GC0000121</t>
  </si>
  <si>
    <t>GC0000123</t>
  </si>
  <si>
    <t xml:space="preserve">JARA </t>
  </si>
  <si>
    <t xml:space="preserve">DE LA CRUZ </t>
  </si>
  <si>
    <t>BENAVIDES</t>
  </si>
  <si>
    <t>JARA DE LA CRUZ BENAVIDES</t>
  </si>
  <si>
    <t>GC0000143</t>
  </si>
  <si>
    <t xml:space="preserve">CELESTINO </t>
  </si>
  <si>
    <t>CUEVA DURAN CELESTINO</t>
  </si>
  <si>
    <t>GC0000142</t>
  </si>
  <si>
    <t>C.P. SHAULLO CHICO</t>
  </si>
  <si>
    <t>BAÑOS DEL INCA</t>
  </si>
  <si>
    <t>CENTRO POBLADO TUAL</t>
  </si>
  <si>
    <t xml:space="preserve">BURGOS </t>
  </si>
  <si>
    <t>JAYASI</t>
  </si>
  <si>
    <t>JORGE</t>
  </si>
  <si>
    <t xml:space="preserve">CASERIO CHIGDEN </t>
  </si>
  <si>
    <t>JHONATAN ALEXANDER</t>
  </si>
  <si>
    <t>C.P. TARTAR CHICO</t>
  </si>
  <si>
    <t xml:space="preserve">CORREA </t>
  </si>
  <si>
    <t>BOLAÑOS</t>
  </si>
  <si>
    <t>CARLOS JACINTO</t>
  </si>
  <si>
    <t>CORREA BOLAÑOS CARLOS JACINTO</t>
  </si>
  <si>
    <t>01701/1992</t>
  </si>
  <si>
    <t>CASRIO LA VICTORIA</t>
  </si>
  <si>
    <t>HUASMIN</t>
  </si>
  <si>
    <t xml:space="preserve">CELENDIN </t>
  </si>
  <si>
    <t xml:space="preserve">BARDALES </t>
  </si>
  <si>
    <t>HERMAN MILER</t>
  </si>
  <si>
    <t>BARDALES ARCE HERMAN MILER</t>
  </si>
  <si>
    <t>16/0671998</t>
  </si>
  <si>
    <t>CASERIO HIGUERON</t>
  </si>
  <si>
    <t>MAGDALENA</t>
  </si>
  <si>
    <t xml:space="preserve">PUJADAS </t>
  </si>
  <si>
    <t>URPI</t>
  </si>
  <si>
    <t>GERARDO ESTEBAN</t>
  </si>
  <si>
    <t>PUJADAS URPI GERARDO ESTEBAN</t>
  </si>
  <si>
    <t xml:space="preserve">NUEVA GRANADA MZ D LOT.3 </t>
  </si>
  <si>
    <t xml:space="preserve">CHORRILLOS </t>
  </si>
  <si>
    <t>GC0000162</t>
  </si>
  <si>
    <t>GC0000163</t>
  </si>
  <si>
    <t>GC0000164</t>
  </si>
  <si>
    <t>GC0000161</t>
  </si>
  <si>
    <t>GC0000165</t>
  </si>
  <si>
    <t xml:space="preserve">LLAMOGA </t>
  </si>
  <si>
    <t>JAIME</t>
  </si>
  <si>
    <t>AV. TUPAC CAMARU N° 847</t>
  </si>
  <si>
    <t>LLACONARA</t>
  </si>
  <si>
    <t xml:space="preserve">SALAZAR </t>
  </si>
  <si>
    <t>OSCAR ALBERTO</t>
  </si>
  <si>
    <t>SALAZAR RAMIREZ OSCAR ALBERTO</t>
  </si>
  <si>
    <t>28/0871971</t>
  </si>
  <si>
    <t>C.P.LA PACCHA</t>
  </si>
  <si>
    <t>GC0000166</t>
  </si>
  <si>
    <t>GC0000167</t>
  </si>
  <si>
    <t>GC0000168</t>
  </si>
  <si>
    <t xml:space="preserve">MANTILLA </t>
  </si>
  <si>
    <t>NACHUCHO</t>
  </si>
  <si>
    <t>SAUL</t>
  </si>
  <si>
    <t>CASERIO COCHAPAMPA</t>
  </si>
  <si>
    <t>CHETILLA</t>
  </si>
  <si>
    <t xml:space="preserve">TANTA </t>
  </si>
  <si>
    <t>CASERIO CASADEN</t>
  </si>
  <si>
    <t>MALIMBA</t>
  </si>
  <si>
    <t>NESTOR ABRAHAN</t>
  </si>
  <si>
    <t>HUAMAN MALIMBA NESTOR ABRAHAN</t>
  </si>
  <si>
    <t>CASERIO CATACHE MAGDALENA</t>
  </si>
  <si>
    <t xml:space="preserve">MURRUGARRA </t>
  </si>
  <si>
    <t>CARMEN</t>
  </si>
  <si>
    <t>CENTRO POBLADO SAN CRISTOBAL MAGDALENA</t>
  </si>
  <si>
    <t xml:space="preserve">GAMONAL </t>
  </si>
  <si>
    <t>CHAVEZ</t>
  </si>
  <si>
    <t>CHARLY</t>
  </si>
  <si>
    <t>GAMONAL CHAVEZ CHARLY</t>
  </si>
  <si>
    <t>SECTOR EL ALGARROBAL MZ. 40 LT. 28</t>
  </si>
  <si>
    <t>PUCALA</t>
  </si>
  <si>
    <t xml:space="preserve">ROJAS </t>
  </si>
  <si>
    <t>JUNIOR JEORDI</t>
  </si>
  <si>
    <t>MURRUGARRA DE LA CRUZ CARMEN</t>
  </si>
  <si>
    <t>EL MOLINO A-2 AA.VV</t>
  </si>
  <si>
    <t>GC0000171</t>
  </si>
  <si>
    <t>GC0000169</t>
  </si>
  <si>
    <t>GC0000172</t>
  </si>
  <si>
    <t>GC0000170</t>
  </si>
  <si>
    <t>GC0000173</t>
  </si>
  <si>
    <t>FRANKLYN PRIESTLEYZ</t>
  </si>
  <si>
    <t>ESGAR JESUS</t>
  </si>
  <si>
    <t>JR. JESUS DE NAZARET N° 211</t>
  </si>
  <si>
    <t>GC0000174</t>
  </si>
  <si>
    <t>GC0000175</t>
  </si>
  <si>
    <t xml:space="preserve">PUCALA </t>
  </si>
  <si>
    <t>C. P. AGOCUCHO</t>
  </si>
  <si>
    <t>GC0000177</t>
  </si>
  <si>
    <t>GC0000178</t>
  </si>
  <si>
    <t xml:space="preserve">DIAZ </t>
  </si>
  <si>
    <t>CRISTHIAN ABEL EDUARDO</t>
  </si>
  <si>
    <t>VASQUEZ DIAZ CRISTHIAN ABEL EDUARDO</t>
  </si>
  <si>
    <t xml:space="preserve">SAMAME </t>
  </si>
  <si>
    <t>SILVA</t>
  </si>
  <si>
    <t>EDWARD ANDRES</t>
  </si>
  <si>
    <t>SAMANE SILVA EDWARD ANDRES</t>
  </si>
  <si>
    <t>CENT PUCALA MZ. 63</t>
  </si>
  <si>
    <t>URB. JOSE OLAYA 44</t>
  </si>
  <si>
    <t>GC0000014</t>
  </si>
  <si>
    <t>09744549</t>
  </si>
  <si>
    <t>CASTAÑEDA</t>
  </si>
  <si>
    <t>ERVIN GONZALO</t>
  </si>
  <si>
    <t>SUPERVISOR MOVIMIENTO DE TIERRA</t>
  </si>
  <si>
    <t xml:space="preserve">Av. Carabayllo Mz. H lt. 25 Urb. San Eulogio </t>
  </si>
  <si>
    <t>MARTINEZ</t>
  </si>
  <si>
    <t>SANTAMARIA</t>
  </si>
  <si>
    <t>FELIX EMILIO</t>
  </si>
  <si>
    <t>MARTINEZ SANTAMARIA  FELIX EMILIO</t>
  </si>
  <si>
    <t>SECTOR LA MEZCLADORA MZ. 100  LT. 18</t>
  </si>
  <si>
    <t>PATAPO</t>
  </si>
  <si>
    <t>GUERRERO</t>
  </si>
  <si>
    <t>HILDEBRANDO</t>
  </si>
  <si>
    <t>CASERIO EL PROGRESO</t>
  </si>
  <si>
    <t xml:space="preserve">TUMBADEN </t>
  </si>
  <si>
    <t>GC0000179</t>
  </si>
  <si>
    <t>GC0000180</t>
  </si>
  <si>
    <t>CHICLOTE</t>
  </si>
  <si>
    <t>CHRISTIAN JHONATAN</t>
  </si>
  <si>
    <t>CALLE CHAMAYA S/N AA.HH. FILA ALTA</t>
  </si>
  <si>
    <t>JAEN</t>
  </si>
  <si>
    <t>CASERIO EL CALVARIO</t>
  </si>
  <si>
    <t>MANTILLAS</t>
  </si>
  <si>
    <t>SEGUNDO NESTOR</t>
  </si>
  <si>
    <t>MANTILLA  VARGAS SEGUNDO NESTOR</t>
  </si>
  <si>
    <t>GC0000181</t>
  </si>
  <si>
    <t>ALBERTO</t>
  </si>
  <si>
    <t>CASERIO PORCONCILLO ALTO</t>
  </si>
  <si>
    <t xml:space="preserve">JULCAMORO </t>
  </si>
  <si>
    <t>URIEL NOEL</t>
  </si>
  <si>
    <t>JULCAMORO HUAMAN URIEL NOEL</t>
  </si>
  <si>
    <t xml:space="preserve">CASERIO  CHIGDEN </t>
  </si>
  <si>
    <t xml:space="preserve">RAMIREZ </t>
  </si>
  <si>
    <t>SEGUNDO CESAR</t>
  </si>
  <si>
    <t>WILLIAM ALI</t>
  </si>
  <si>
    <t>GC0000184</t>
  </si>
  <si>
    <t>GC0000183</t>
  </si>
  <si>
    <t>GC0000182</t>
  </si>
  <si>
    <t>GC0000185</t>
  </si>
  <si>
    <t>VILLANUEVA</t>
  </si>
  <si>
    <t>CHUQUIRUNA</t>
  </si>
  <si>
    <t>CASERIO  CHICOSPATA</t>
  </si>
  <si>
    <t>MORENO</t>
  </si>
  <si>
    <t>EDGAR FERNANDO</t>
  </si>
  <si>
    <t>JR. REYNA FARGER N° 350</t>
  </si>
  <si>
    <t>GC0000147</t>
  </si>
  <si>
    <t>GC0000154</t>
  </si>
  <si>
    <t>CRISTIAN LUIS</t>
  </si>
  <si>
    <t xml:space="preserve">LOPEZ </t>
  </si>
  <si>
    <t>JAIME LUIS</t>
  </si>
  <si>
    <t>CASERIO  AGOCUCHO</t>
  </si>
  <si>
    <t xml:space="preserve">HERMENEGILDO </t>
  </si>
  <si>
    <t>GRADOS</t>
  </si>
  <si>
    <t>CRISTIAN EDUARDO</t>
  </si>
  <si>
    <t>08 DE SEPTIEMBRE N° 1718</t>
  </si>
  <si>
    <t>FLORENCIA DE MORA</t>
  </si>
  <si>
    <t xml:space="preserve">TRUJILLO </t>
  </si>
  <si>
    <t>GC0000186</t>
  </si>
  <si>
    <t>GC0000187</t>
  </si>
  <si>
    <t>GC0000189</t>
  </si>
  <si>
    <t>GC0000188</t>
  </si>
  <si>
    <t xml:space="preserve">ÑONTOL </t>
  </si>
  <si>
    <t>HUINGO</t>
  </si>
  <si>
    <t>CARLOS ALBERTO</t>
  </si>
  <si>
    <t>CASERIO TARTAR CHICO</t>
  </si>
  <si>
    <t>CENTRO POBLADO TARTAR CHICO</t>
  </si>
  <si>
    <t xml:space="preserve">PACHAMANGO </t>
  </si>
  <si>
    <t>31/06/2023</t>
  </si>
  <si>
    <t>GC0000192</t>
  </si>
  <si>
    <t>GC0000190</t>
  </si>
  <si>
    <t>GC0000191</t>
  </si>
  <si>
    <t>BARBOZA</t>
  </si>
  <si>
    <t>PEREZ</t>
  </si>
  <si>
    <t>JAHAN KLEIDER</t>
  </si>
  <si>
    <t>AA.HH. BELEN MZ. H LT. 10</t>
  </si>
  <si>
    <t>CASTILLA</t>
  </si>
  <si>
    <t>PISCO</t>
  </si>
  <si>
    <t>PINEDO</t>
  </si>
  <si>
    <t>WILSON EMERSON</t>
  </si>
  <si>
    <t>JHONATAN KEVIN</t>
  </si>
  <si>
    <t>JR. ALFONSO UGARTE INT. A BARRIO MOLLEPAMPA MZ. A LOT. 1</t>
  </si>
  <si>
    <t>GUTIERREZ</t>
  </si>
  <si>
    <t>RONAL GILSER</t>
  </si>
  <si>
    <t>RODRÍGUEZ</t>
  </si>
  <si>
    <t>CÉSAR FLORIÁN</t>
  </si>
  <si>
    <t>MARCO ALEXANDER</t>
  </si>
  <si>
    <t>HUARIPATA</t>
  </si>
  <si>
    <t>JOSÉ WILY</t>
  </si>
  <si>
    <t>TORRES</t>
  </si>
  <si>
    <t>EVER ALBERTO</t>
  </si>
  <si>
    <t>OCAS</t>
  </si>
  <si>
    <t>ORTIZ</t>
  </si>
  <si>
    <t>PESCORÁN</t>
  </si>
  <si>
    <t>MANUEL DAVID</t>
  </si>
  <si>
    <t>GC0000199</t>
  </si>
  <si>
    <t>GC0000195</t>
  </si>
  <si>
    <t>GUTIERREZ HUARIPATA JOSÉ WILY</t>
  </si>
  <si>
    <t>OCAS ORTIZ CRISTIAN</t>
  </si>
  <si>
    <t>GC0000196</t>
  </si>
  <si>
    <t>GC0000193</t>
  </si>
  <si>
    <t>GC0000200</t>
  </si>
  <si>
    <t>VENEGAS</t>
  </si>
  <si>
    <t>RAMOS</t>
  </si>
  <si>
    <t>ENRIQUE HERMIS</t>
  </si>
  <si>
    <t>STAFF</t>
  </si>
  <si>
    <t>PERSONAL DE PISO</t>
  </si>
  <si>
    <t>ASIST. ADMINISTRATIVO</t>
  </si>
  <si>
    <t>ASIST. SEGURIDAD</t>
  </si>
  <si>
    <t>SUPERVISOR DE OBRAS CIVILES</t>
  </si>
  <si>
    <t>FECHA DE MASTER</t>
  </si>
  <si>
    <t>LUGAR DE EMBARQUE
(SAN ANDRES, BUENOS AIRES, CEO, CHILCAS OESTE)</t>
  </si>
  <si>
    <t>ANCASH</t>
  </si>
  <si>
    <t>CARHUAZ</t>
  </si>
  <si>
    <t>PARIAHUANCA</t>
  </si>
  <si>
    <t>JR. MARAVILLA S/N</t>
  </si>
  <si>
    <t>AV. MOCHE 336</t>
  </si>
  <si>
    <t>CALLE MAGNESIO 380</t>
  </si>
  <si>
    <t>TIEMPO EN UNIDAD</t>
  </si>
  <si>
    <t>MESES</t>
  </si>
  <si>
    <t>AÑOS</t>
  </si>
  <si>
    <t>DÍAS</t>
  </si>
  <si>
    <t>ALVITES</t>
  </si>
  <si>
    <t>ROMARIO</t>
  </si>
  <si>
    <t>CASERIO CARRERAPAMPA</t>
  </si>
  <si>
    <t>SANPABLO</t>
  </si>
  <si>
    <t>GALLARDO</t>
  </si>
  <si>
    <t>SEGUNDO EDUARDO</t>
  </si>
  <si>
    <t>CENTRO POBLADO DE PARIAMARCA</t>
  </si>
  <si>
    <t>ELI</t>
  </si>
  <si>
    <t>PASAJE LOS ANGELES 128</t>
  </si>
  <si>
    <t>LARA</t>
  </si>
  <si>
    <t>ELVIS</t>
  </si>
  <si>
    <t>CASERIO ÑUN ÑUN CP EL TAMBO</t>
  </si>
  <si>
    <t>APELLIDOS Y NOMBRES</t>
  </si>
  <si>
    <t>CARGO</t>
  </si>
  <si>
    <t>GC0000207</t>
  </si>
  <si>
    <t>GC0000206</t>
  </si>
  <si>
    <t>GC0000203</t>
  </si>
  <si>
    <t>GC0000205</t>
  </si>
  <si>
    <t>JESÚS DAVID</t>
  </si>
  <si>
    <t>CASERIO CHOTÉN</t>
  </si>
  <si>
    <t>BURGOS</t>
  </si>
  <si>
    <t>HORNA</t>
  </si>
  <si>
    <t>HUGO JORDAN</t>
  </si>
  <si>
    <t>URB. HUERTA BELLA MZ H LT 25</t>
  </si>
  <si>
    <t>CRISTHIAN ALEXADER</t>
  </si>
  <si>
    <t>VASQUEZ</t>
  </si>
  <si>
    <t>GC0000210</t>
  </si>
  <si>
    <t>GC0000201</t>
  </si>
  <si>
    <t>GC0000209</t>
  </si>
  <si>
    <t>HUAYLLA</t>
  </si>
  <si>
    <t>LARREA</t>
  </si>
  <si>
    <t>ALVARO JOSÉ</t>
  </si>
  <si>
    <t>JR. GUILLERO URRELO 1623</t>
  </si>
  <si>
    <t>DUCOS</t>
  </si>
  <si>
    <t>CENTRO POBLADO PORCON ALTO</t>
  </si>
  <si>
    <t>TISNADO</t>
  </si>
  <si>
    <t>ARRESTEGUI</t>
  </si>
  <si>
    <t>GERSON YADER</t>
  </si>
  <si>
    <t>CASERIO SANTA CATALINA</t>
  </si>
  <si>
    <t>CUPISNIQUE</t>
  </si>
  <si>
    <t>CONTUMAZA</t>
  </si>
  <si>
    <t>GC0000208</t>
  </si>
  <si>
    <t>GC0000211</t>
  </si>
  <si>
    <t>GC0000212</t>
  </si>
  <si>
    <t>SANDOVAL</t>
  </si>
  <si>
    <t>CASERIO TRES TINGOS</t>
  </si>
  <si>
    <t>GC0000095</t>
  </si>
  <si>
    <t>GC0000214</t>
  </si>
  <si>
    <t>GC0000213</t>
  </si>
  <si>
    <t>AYUDANTE CIVIL</t>
  </si>
  <si>
    <t>GC0000216</t>
  </si>
  <si>
    <t>ANTICONA</t>
  </si>
  <si>
    <t>HEBER EFRAIN</t>
  </si>
  <si>
    <t>CASERIO LAGUNA SAUSACOCHA</t>
  </si>
  <si>
    <t>GC0000215</t>
  </si>
  <si>
    <t>CHUQUILIN</t>
  </si>
  <si>
    <t>ABNER JOSIAS</t>
  </si>
  <si>
    <t>CENTRO POBLADO QUILICATE</t>
  </si>
  <si>
    <t>GC0000217</t>
  </si>
  <si>
    <t>DIAZ</t>
  </si>
  <si>
    <t>NEIVER STALYN</t>
  </si>
  <si>
    <t>DAVID</t>
  </si>
  <si>
    <t>AV. PARANSHIQUE</t>
  </si>
  <si>
    <t>ESCOBEDO</t>
  </si>
  <si>
    <t>SICCHA</t>
  </si>
  <si>
    <t>ARTEMIO</t>
  </si>
  <si>
    <t>GC0000219</t>
  </si>
  <si>
    <t>GC0000218</t>
  </si>
  <si>
    <t>GC0000220</t>
  </si>
  <si>
    <t>BARRIO SAN VICENTE S/N</t>
  </si>
  <si>
    <t>marco.rodriguez@grupocredco.com</t>
  </si>
  <si>
    <t>manuel.pescoran@grupocredco.com</t>
  </si>
  <si>
    <t>cesar.rodriguez@grupocredco.com</t>
  </si>
  <si>
    <t>jeordi.rojas@grupocredco.com</t>
  </si>
  <si>
    <t>GC0000221</t>
  </si>
  <si>
    <t>ABANDONO</t>
  </si>
  <si>
    <t>RENUNCIA</t>
  </si>
  <si>
    <t>JIMENEZ</t>
  </si>
  <si>
    <t>RONAL</t>
  </si>
  <si>
    <t>GC0000222</t>
  </si>
  <si>
    <t>GC0000223</t>
  </si>
  <si>
    <t>GC0000224</t>
  </si>
  <si>
    <t>CHUNQUE</t>
  </si>
  <si>
    <t>ALEXANDER</t>
  </si>
  <si>
    <t>JR ALFONZO UGARTE E 2</t>
  </si>
  <si>
    <t>MURILLOS</t>
  </si>
  <si>
    <t>EDWIN</t>
  </si>
  <si>
    <t>CASERIO TRANCA SASAPE</t>
  </si>
  <si>
    <t>TUCUME</t>
  </si>
  <si>
    <t>CASERIO SAN MATEO</t>
  </si>
  <si>
    <t>CATILLUC</t>
  </si>
  <si>
    <t>MIULLER ALONSO</t>
  </si>
  <si>
    <t>SUAREZ</t>
  </si>
  <si>
    <t>GUADALUPE</t>
  </si>
  <si>
    <t>CALLE RAMON CASTILLA S/N</t>
  </si>
  <si>
    <t>GC0000225</t>
  </si>
  <si>
    <t>936 586 186</t>
  </si>
  <si>
    <t>NORIEGA</t>
  </si>
  <si>
    <t>GUSMAN</t>
  </si>
  <si>
    <t>ENCAÑADA</t>
  </si>
  <si>
    <t>CASERIO SAN PEDRO</t>
  </si>
  <si>
    <t>MOTIVO</t>
  </si>
  <si>
    <t>FECHA DE PROGRAMACIÓN</t>
  </si>
  <si>
    <t xml:space="preserve">RABANAL </t>
  </si>
  <si>
    <t>SOTELO</t>
  </si>
  <si>
    <t>CARLOS DANIEL</t>
  </si>
  <si>
    <t>978 752 675</t>
  </si>
  <si>
    <t>alvaro.huaylla@grupocredco.com</t>
  </si>
  <si>
    <t>SUPERVISOR DE SEGURIDAD</t>
  </si>
  <si>
    <t>INGENIERO RESIDENTE</t>
  </si>
  <si>
    <t>INGENIERO DE SEGURIDAD</t>
  </si>
  <si>
    <t>CALLE MARCIAL ACHARAN 580 LAS QUINTANAS</t>
  </si>
  <si>
    <t>GC0000226</t>
  </si>
  <si>
    <t>GC0000227</t>
  </si>
  <si>
    <t>AYUDANTE DE OBRAS CIVILES</t>
  </si>
  <si>
    <t>CÓDIGO DE FOTOCHEK</t>
  </si>
  <si>
    <t>JOSUE LUIS</t>
  </si>
  <si>
    <t>GC0000228</t>
  </si>
  <si>
    <t>TERMINO DE CONTRATO</t>
  </si>
  <si>
    <t>GC0000229</t>
  </si>
  <si>
    <t>Término de contrato</t>
  </si>
  <si>
    <t>HORA</t>
  </si>
  <si>
    <t>SULLANA</t>
  </si>
  <si>
    <t>CALLE JOSE MARIA RAYGADA 400 ASENT. H. 9 DE OCTUBRE</t>
  </si>
  <si>
    <t>ABAD</t>
  </si>
  <si>
    <t>BRYAN DENNIS</t>
  </si>
  <si>
    <t>CASERIO ROSAMAYOPATA</t>
  </si>
  <si>
    <t>JORGE LUIS ANTONIO</t>
  </si>
  <si>
    <t>CELENDIN</t>
  </si>
  <si>
    <t>SOROCHUCO</t>
  </si>
  <si>
    <t>CASERIO CHUGURMAYO</t>
  </si>
  <si>
    <t xml:space="preserve">RUDAS </t>
  </si>
  <si>
    <t>BLADIMIR CARLOS</t>
  </si>
  <si>
    <t xml:space="preserve">      </t>
  </si>
  <si>
    <t>RAMIREZ POMPA JORGE LUIS ANTONIO</t>
  </si>
  <si>
    <t>GC0000231</t>
  </si>
  <si>
    <t>ROJAS ABAD BRYAN DENNIS</t>
  </si>
  <si>
    <t>GC0000232</t>
  </si>
  <si>
    <t>GC0000230</t>
  </si>
  <si>
    <t>DESPIDO</t>
  </si>
  <si>
    <t xml:space="preserve">CARRASCO </t>
  </si>
  <si>
    <t>CESAR</t>
  </si>
  <si>
    <t>CASERIO TUNASPAMPA</t>
  </si>
  <si>
    <t>CARRANZA MISAHUAMAN RONAL MIKI</t>
  </si>
  <si>
    <t>TERAN  REVILLA NORBERTO</t>
  </si>
  <si>
    <t>ANTICONA ANTICONA HEBER EFRAIN</t>
  </si>
  <si>
    <t>CAHUANA CHUQUIMANGO EDILBERTO</t>
  </si>
  <si>
    <t>CAMPOS  FLORES  ANTONIO</t>
  </si>
  <si>
    <t>LINARES HUAMAN UGO BENITO</t>
  </si>
  <si>
    <t>MISAHUAMAN BARDALES FRANKLIN</t>
  </si>
  <si>
    <t>POMPA CUEVA NELSON ELVIS</t>
  </si>
  <si>
    <t>ROJAS PEÑA ROSMA ROEL</t>
  </si>
  <si>
    <t>VILCA CONDOR INELSON</t>
  </si>
  <si>
    <t>BURGOS  JAYASI JORGE</t>
  </si>
  <si>
    <t>DURAN PINEDO ELI</t>
  </si>
  <si>
    <t>LINARES BLONDET LUIS II</t>
  </si>
  <si>
    <t>LLAMOGA  PINEDO JAIME</t>
  </si>
  <si>
    <t>SANCHEZ MOSQUEIRA WALTER</t>
  </si>
  <si>
    <t>TARRILLO  COLLANTES EDWIN ALEXANDER</t>
  </si>
  <si>
    <t>ARIAS ARCE WILMER</t>
  </si>
  <si>
    <t>ARRIBASPLATA ARRIBASPLATA YEISON ANTONI</t>
  </si>
  <si>
    <t>CARHUAPOMA  VARGAS OSWALDO</t>
  </si>
  <si>
    <t>CARRASCO  CHAVEZ CESAR</t>
  </si>
  <si>
    <t>CHAVEZ NORIEGA GUSMAN</t>
  </si>
  <si>
    <t>LLANOS LOPEZ  JAIME LUIS</t>
  </si>
  <si>
    <t>LINARES RAMIREZ WILLIAM ALI</t>
  </si>
  <si>
    <t>MIRANDA GALLARDO SEGUNDO EDUARDO</t>
  </si>
  <si>
    <t>PISCO PINEDO JHONATAN KEVIN</t>
  </si>
  <si>
    <t>ROJAS  GUERRERO HILDEBRANDO</t>
  </si>
  <si>
    <t>SANDOVAL MURILLOS EDWIN</t>
  </si>
  <si>
    <t>TANTA DE LA CRUZ SANTOS</t>
  </si>
  <si>
    <t>TISNADO ARRESTEGUI GERSON YADER</t>
  </si>
  <si>
    <t>TORRES SANCHEZ EVER ALBERTO</t>
  </si>
  <si>
    <t>VASQUEZ LARA ELVIS</t>
  </si>
  <si>
    <t>VENEGAS RAMOS ENRIQUE HERMIS</t>
  </si>
  <si>
    <t>CHUNQUE PINEDO ALEXANDER</t>
  </si>
  <si>
    <t>ZAMORA LA TORRE EDUARDO HUMBERTO</t>
  </si>
  <si>
    <t>ROJAS  MENDOZA JUNIOR JEORDI</t>
  </si>
  <si>
    <t>PESCORÁN CAMPOS MANUEL DAVID</t>
  </si>
  <si>
    <t>HUAYLLA LARREA ALVARO JOSÉ</t>
  </si>
  <si>
    <t>RABANAL  SOTELO CARLOS DANIEL</t>
  </si>
  <si>
    <t>GC0000233</t>
  </si>
  <si>
    <t>HORNA BURGOS HUGO JORDAN</t>
  </si>
  <si>
    <t>PALOMINO</t>
  </si>
  <si>
    <t>WILSON EDUIN</t>
  </si>
  <si>
    <t>CARRETERA BAMBAMARCA KM 14</t>
  </si>
  <si>
    <t>GC0000234</t>
  </si>
  <si>
    <t>CARRILLO</t>
  </si>
  <si>
    <t>ZAPATA</t>
  </si>
  <si>
    <t>CARLOS EDUARDO</t>
  </si>
  <si>
    <t>ASENT. H. JORGE CHAVEZ Y9</t>
  </si>
  <si>
    <t>TINGAL</t>
  </si>
  <si>
    <t>CENTRO POBLADO PORCON BAJO</t>
  </si>
  <si>
    <t>OBED</t>
  </si>
  <si>
    <t>CASERIO RODACOCHA</t>
  </si>
  <si>
    <t>PACAYA</t>
  </si>
  <si>
    <t>ANTHONY HAROLD</t>
  </si>
  <si>
    <t>AA.HH. DANIEL ALCIDES CARRION - MZ. D - 13 LT.20</t>
  </si>
  <si>
    <t>CALLAO</t>
  </si>
  <si>
    <t>BELLAVISTA</t>
  </si>
  <si>
    <t>SOSA</t>
  </si>
  <si>
    <t>LOAYSA</t>
  </si>
  <si>
    <t>AV. GRAU ASENT. H. SAN SEBASTIAN MZ E1 LT 04</t>
  </si>
  <si>
    <t xml:space="preserve">PIURA </t>
  </si>
  <si>
    <t>CARRILLO ZAPATA CARLOS EDUARDO</t>
  </si>
  <si>
    <t>CUEVA TINGAL EDWIN</t>
  </si>
  <si>
    <t>LLOVERA CULQUI OBED</t>
  </si>
  <si>
    <t>PACAYA REGIFO ANTHONY HAROLD</t>
  </si>
  <si>
    <t>PALOMINO QUISPE WILSON EDUIN</t>
  </si>
  <si>
    <t>GC0000235</t>
  </si>
  <si>
    <t>GC0000237</t>
  </si>
  <si>
    <t>GC0000236</t>
  </si>
  <si>
    <t>GC0000238</t>
  </si>
  <si>
    <t>GC0000239</t>
  </si>
  <si>
    <t>ATE</t>
  </si>
  <si>
    <t>URN. VIRGEN DE COCHARCAS MZ. D LT. 21</t>
  </si>
  <si>
    <t>JR. GONZALES PRADA S/N</t>
  </si>
  <si>
    <t>DELAO</t>
  </si>
  <si>
    <t>BRUNO</t>
  </si>
  <si>
    <t>NELSON</t>
  </si>
  <si>
    <t>JOSE GENARO</t>
  </si>
  <si>
    <t>GC0000242</t>
  </si>
  <si>
    <t>GC0000241</t>
  </si>
  <si>
    <t>GC0000240</t>
  </si>
  <si>
    <t>CUEVA GARCIA JOSE GENARO</t>
  </si>
  <si>
    <t>DELAO TORRES BRUNO</t>
  </si>
  <si>
    <t>DELAO TORRES NELSON</t>
  </si>
  <si>
    <t>GC0000243</t>
  </si>
  <si>
    <t>ADRIANO</t>
  </si>
  <si>
    <t>CERVANTES</t>
  </si>
  <si>
    <t>DANIEL</t>
  </si>
  <si>
    <t>URB. CEDROS DE VILLA - CHORRILLOS</t>
  </si>
  <si>
    <t>CHORRILLOS</t>
  </si>
  <si>
    <t>ESTEBAN ELIAS</t>
  </si>
  <si>
    <t>ADRIANO CERVANTES DANIEL</t>
  </si>
  <si>
    <t>n</t>
  </si>
  <si>
    <t>f</t>
  </si>
  <si>
    <t>OCUPADO</t>
  </si>
  <si>
    <t>CUEVA HUANGAL, ABDIAS</t>
  </si>
  <si>
    <t>LIBRE</t>
  </si>
  <si>
    <t>HUANGAL</t>
  </si>
  <si>
    <t>CASERIO PORCON POTRERO</t>
  </si>
  <si>
    <t>CUEVA HUANGAL ABDIAS</t>
  </si>
  <si>
    <t>N</t>
  </si>
  <si>
    <t>D</t>
  </si>
  <si>
    <t>M</t>
  </si>
  <si>
    <t>CARR. VENECIA - EL TRIUNFO S/N CASERIO EL TRIUNFO</t>
  </si>
  <si>
    <t>DIOVER YULINIO</t>
  </si>
  <si>
    <t>GONZALES</t>
  </si>
  <si>
    <t>JOSUE JONATAN</t>
  </si>
  <si>
    <t>GC0000246</t>
  </si>
  <si>
    <t>GC0000245</t>
  </si>
  <si>
    <t>ASISTENTE ADMINISTRATIVO</t>
  </si>
  <si>
    <t>BRAYAN JESUS</t>
  </si>
  <si>
    <t>SANTA</t>
  </si>
  <si>
    <t>NUEVO CHIMBOTE</t>
  </si>
  <si>
    <t>LAS LOMAS MZ.A LT.4</t>
  </si>
  <si>
    <t>GC0000247</t>
  </si>
  <si>
    <t>JAVIER</t>
  </si>
  <si>
    <t>ADIR ANDERZON</t>
  </si>
  <si>
    <t>ASENT.H NUEVA ESPERANZA MZ  D1 -41</t>
  </si>
  <si>
    <t>PARIÑAS</t>
  </si>
  <si>
    <t>TALARA</t>
  </si>
  <si>
    <t>GC0000250</t>
  </si>
  <si>
    <t>GC0000248</t>
  </si>
  <si>
    <t>GC0000249</t>
  </si>
  <si>
    <t>jonathankevinpiscopinedo@gmail.com</t>
  </si>
  <si>
    <t>cristofer230201@gmail.com</t>
  </si>
  <si>
    <t>everanticona159@gmail.com</t>
  </si>
  <si>
    <t xml:space="preserve">luislinaresb@hotmail.com </t>
  </si>
  <si>
    <t xml:space="preserve">Oswaldocarhuapoma27 </t>
  </si>
  <si>
    <t xml:space="preserve">Elidu871@gmail.com </t>
  </si>
  <si>
    <t>reykin.16@gmail.com</t>
  </si>
  <si>
    <t>Evasquezl16_1@unc.edu.pe</t>
  </si>
  <si>
    <t xml:space="preserve">Jorgeluisramirezpompa1@gmail.com </t>
  </si>
  <si>
    <t>Wilsonariasarce@gmail.com</t>
  </si>
  <si>
    <t xml:space="preserve">73nelsonelvis@gmail.com </t>
  </si>
  <si>
    <t>Llamogapinedoj@gmail.com</t>
  </si>
  <si>
    <t>wlinare907@gmail.com</t>
  </si>
  <si>
    <t>yeiz_123@hotmail.com</t>
  </si>
  <si>
    <t>camposfloresantonio41@gmail.com</t>
  </si>
  <si>
    <t xml:space="preserve">Hjordan2222@gmail.com </t>
  </si>
  <si>
    <t>linareshuamanugo@gmail.com</t>
  </si>
  <si>
    <t>carrascochavezcesar4@gmail.com</t>
  </si>
  <si>
    <t>brunodelaotorres25@gmail.com</t>
  </si>
  <si>
    <t>ronalcarranza1994@outlook.com</t>
  </si>
  <si>
    <t xml:space="preserve">Franklinmisahuamanbardales24@gmail.com </t>
  </si>
  <si>
    <t xml:space="preserve"> Cueva87@gmail.com</t>
  </si>
  <si>
    <t>rabanal628941796@gmail.com</t>
  </si>
  <si>
    <t>edwincuevatingal4@gmail.com</t>
  </si>
  <si>
    <t>n06teran@gmail.com</t>
  </si>
  <si>
    <t>Nelsonvilca792@gmail.com</t>
  </si>
  <si>
    <t>edicahuanachuqimango@gmail.com</t>
  </si>
  <si>
    <t>middle-e@hotmail.com</t>
  </si>
  <si>
    <t>Chunque_2012@hotmailcom</t>
  </si>
  <si>
    <t>edwin218.sm@gmail.com</t>
  </si>
  <si>
    <t>evertorressanchez147@gmail.com</t>
  </si>
  <si>
    <t>walter1134sanchez@gmail.com</t>
  </si>
  <si>
    <t>tisnadoarresteguig@gmail.com</t>
  </si>
  <si>
    <t>hilrojas1985@gmail.com</t>
  </si>
  <si>
    <t>luisllanos077@gmail.com</t>
  </si>
  <si>
    <t>Bryan_rojas2697@hotmail.com</t>
  </si>
  <si>
    <t>Carloscarrillo1110@hotmail.com</t>
  </si>
  <si>
    <t>jarabenavides7@gmail.com</t>
  </si>
  <si>
    <t>obed06_1996@hotmail.com</t>
  </si>
  <si>
    <t>anthonyhpr.2025@gmail.com</t>
  </si>
  <si>
    <t>yuliniochuquimango@gmail.com</t>
  </si>
  <si>
    <t>jquispego@gmail.com</t>
  </si>
  <si>
    <t>santostantadelacruz625@gmail.com</t>
  </si>
  <si>
    <t>bmantillafernandez@gmail.com</t>
  </si>
  <si>
    <t>javiercuevahuaman27@gmail.com</t>
  </si>
  <si>
    <t>adir.chavez.moreno11@gmail.com</t>
  </si>
  <si>
    <t>luischavezmoreno@hotmail.com</t>
  </si>
  <si>
    <t>PASAJE BAZAN#121</t>
  </si>
  <si>
    <t>SAN MARTIN 369</t>
  </si>
  <si>
    <t>PORCONCILLO BAJO</t>
  </si>
  <si>
    <t>CALLE LAS DIAMELAS #160</t>
  </si>
  <si>
    <t>NO SE LE SACO FOTOCHEK PORQUE ESDTABA MAL EL DNI</t>
  </si>
  <si>
    <t>RENGIFO</t>
  </si>
  <si>
    <t>YOEL</t>
  </si>
  <si>
    <t>ducosyoel@gmail.com</t>
  </si>
  <si>
    <t>MUNIPAMPA ALTA</t>
  </si>
  <si>
    <t>ACUÑA</t>
  </si>
  <si>
    <t>MOISES</t>
  </si>
  <si>
    <t>moisesmarrufo672@gmail.com</t>
  </si>
  <si>
    <t>GC0000251</t>
  </si>
  <si>
    <t>GC0000252</t>
  </si>
  <si>
    <t>GC0000253</t>
  </si>
  <si>
    <t>GC0000254</t>
  </si>
  <si>
    <t>GC0000255</t>
  </si>
  <si>
    <t>VENTURA</t>
  </si>
  <si>
    <t>ROBERTO ALEXANDER</t>
  </si>
  <si>
    <t>PASAJE CAJAMARCORCO</t>
  </si>
  <si>
    <t>PROLONGACIÓN.UNIÓN 298</t>
  </si>
  <si>
    <t>rventuraa15@unc.edu.pe</t>
  </si>
  <si>
    <t>ALVARADO</t>
  </si>
  <si>
    <t>victoralvaradovale2020@gmail.com</t>
  </si>
  <si>
    <t>CASERIO LA VICTORIA</t>
  </si>
  <si>
    <t>huamanramirezjhon96@gmail.com</t>
  </si>
  <si>
    <t>C.P TARTAR CHICO</t>
  </si>
  <si>
    <t>CERDAN</t>
  </si>
  <si>
    <t>CORO</t>
  </si>
  <si>
    <t xml:space="preserve">JORGE LUIS </t>
  </si>
  <si>
    <t>cerdancorojorgeluis@gmail.com</t>
  </si>
  <si>
    <t>ASEMT.H SAN MATEO</t>
  </si>
  <si>
    <t>GC0000256</t>
  </si>
  <si>
    <t>yaircerdan770@gmail.com</t>
  </si>
  <si>
    <t>PSJE.INDEPENDENCIA CDRA.8-CAJAMARCA</t>
  </si>
  <si>
    <t>GC0000257</t>
  </si>
  <si>
    <t>GC0000258</t>
  </si>
  <si>
    <t>EDINSON YAIR</t>
  </si>
  <si>
    <t>GC0000259</t>
  </si>
  <si>
    <t>GC0000260</t>
  </si>
  <si>
    <t>GC0000261</t>
  </si>
  <si>
    <t xml:space="preserve">JIMENEZ </t>
  </si>
  <si>
    <t xml:space="preserve">GONZALES </t>
  </si>
  <si>
    <t>RONALMENDOZAJIMENEZ27@GMAIL.COM</t>
  </si>
  <si>
    <t>CASERIO SAN MATEO DE QUILCATE</t>
  </si>
  <si>
    <t>MILERBARDALESARCE1@GMAIL.COM</t>
  </si>
  <si>
    <t>PABLOGONZALESALVARADO@GMAIL.COM</t>
  </si>
  <si>
    <t>GONZALESARCE03@GMAIL.COM</t>
  </si>
  <si>
    <t>GC0000262</t>
  </si>
  <si>
    <t>GC0000263</t>
  </si>
  <si>
    <t>GRAN CHIMU</t>
  </si>
  <si>
    <t>CASCAS</t>
  </si>
  <si>
    <t>edinsonjair2021@gmail.com</t>
  </si>
  <si>
    <t>VICTOR LARCO HERRERA</t>
  </si>
  <si>
    <t>llarotoribiocarlos@mail.com</t>
  </si>
  <si>
    <t>GC0000264</t>
  </si>
  <si>
    <t>GC0000265</t>
  </si>
  <si>
    <t>segundosanchezch.12@gmail.com</t>
  </si>
  <si>
    <t>bambamarcajfj3@gmail.com</t>
  </si>
  <si>
    <t>ODAR</t>
  </si>
  <si>
    <t>LOZANO</t>
  </si>
  <si>
    <t>MARIN</t>
  </si>
  <si>
    <t>ALIS FRANKLIN</t>
  </si>
  <si>
    <t>CHAVARREA</t>
  </si>
  <si>
    <t>SEGUNDO DAVID</t>
  </si>
  <si>
    <t>odarrmoises@gmail.com</t>
  </si>
  <si>
    <t>ASTO</t>
  </si>
  <si>
    <t>pablosalazar5644@gmail.com</t>
  </si>
  <si>
    <t>GC0000266</t>
  </si>
  <si>
    <t>GC0000267</t>
  </si>
  <si>
    <t>LLARO</t>
  </si>
  <si>
    <t>TORIBIO</t>
  </si>
  <si>
    <t>CARLOS ALFREDO</t>
  </si>
  <si>
    <t>WILMAN PABLO</t>
  </si>
  <si>
    <t>GC0000268</t>
  </si>
  <si>
    <t>GC0000269</t>
  </si>
  <si>
    <t>GC0000270</t>
  </si>
  <si>
    <t>CARMONA</t>
  </si>
  <si>
    <t>CRISTIAN JHOEL</t>
  </si>
  <si>
    <t>Joel1123carmona@gmail.com</t>
  </si>
  <si>
    <t>SALDAÑA</t>
  </si>
  <si>
    <t>MESONES</t>
  </si>
  <si>
    <t>ANGELO AYRTON</t>
  </si>
  <si>
    <t>as5565083@gmail.com</t>
  </si>
  <si>
    <t>GC0000272</t>
  </si>
  <si>
    <t>JEFFERSON JAMPIER</t>
  </si>
  <si>
    <t>Tisnadoarresteguijeffersonjampier@gmail.com</t>
  </si>
  <si>
    <t>GC0000271</t>
  </si>
  <si>
    <t>MENA</t>
  </si>
  <si>
    <t>QUILICHE</t>
  </si>
  <si>
    <t>ABRAHAM</t>
  </si>
  <si>
    <t>menaquiliceabraham@gamil.com</t>
  </si>
  <si>
    <t>TUMBAJULCA</t>
  </si>
  <si>
    <t>ENRIQUE DECIDERIO</t>
  </si>
  <si>
    <t>enriquetumbajulcaruiz467@gmail.com</t>
  </si>
  <si>
    <t>CHARCAPE</t>
  </si>
  <si>
    <t>RIOS</t>
  </si>
  <si>
    <t>JÓSE MIGUEL EDUARDO</t>
  </si>
  <si>
    <t>charcape_libra@hotmail.com</t>
  </si>
  <si>
    <t>ALTOMOCHE</t>
  </si>
  <si>
    <t>LA CONVENCIÓN</t>
  </si>
  <si>
    <t>CUSCO</t>
  </si>
  <si>
    <t xml:space="preserve">LÓPEZ </t>
  </si>
  <si>
    <t>CHUGAY</t>
  </si>
  <si>
    <t>lopezvasqueze55@gmail.com</t>
  </si>
  <si>
    <t>GC0000274</t>
  </si>
  <si>
    <t>GC0000275</t>
  </si>
  <si>
    <t>GC0000276</t>
  </si>
  <si>
    <t>GC0000277</t>
  </si>
  <si>
    <t>GC0000278</t>
  </si>
  <si>
    <t xml:space="preserve">CORTEZ </t>
  </si>
  <si>
    <t>CERQUIN</t>
  </si>
  <si>
    <t>CESAR EDUARDO</t>
  </si>
  <si>
    <t>EduardoCC_333@hotmail.com</t>
  </si>
  <si>
    <t>LESEM YONATAN</t>
  </si>
  <si>
    <t>YONAN</t>
  </si>
  <si>
    <t>Leseminfante@gmail.com</t>
  </si>
  <si>
    <t>JR.PENAL S/N BR HUACARIZ</t>
  </si>
  <si>
    <t>AV. VIA EVITAMIENTO NORTE 2264 URB SAN ROQUE</t>
  </si>
  <si>
    <t>CASERIO VENTANILLAS</t>
  </si>
  <si>
    <t>JUAN</t>
  </si>
  <si>
    <t>Juanpachamangodiaz66@gmail.com</t>
  </si>
  <si>
    <t>RODAS</t>
  </si>
  <si>
    <t>HERMAN DOMINGO</t>
  </si>
  <si>
    <t>CASERIO EL MUTISH</t>
  </si>
  <si>
    <t>hermanperez914@gmail.com</t>
  </si>
  <si>
    <t>GC0000279</t>
  </si>
  <si>
    <t>URBINA</t>
  </si>
  <si>
    <t>JHOM FRANKLIN</t>
  </si>
  <si>
    <t>jhomurbina08@gmail.com</t>
  </si>
  <si>
    <t>CACHACHI</t>
  </si>
  <si>
    <t>C.P. CHOLOCAL</t>
  </si>
  <si>
    <t>JR.CALISPUQUI 363 C-9 SANTA ELENA ALTA</t>
  </si>
  <si>
    <t>joel19_45@gmail.com</t>
  </si>
  <si>
    <t xml:space="preserve">MANUEL </t>
  </si>
  <si>
    <t>sorianotantamanuel@gmail.com</t>
  </si>
  <si>
    <t>CO. PORCONCILLO ALTO</t>
  </si>
  <si>
    <t xml:space="preserve">URBANO </t>
  </si>
  <si>
    <t>MIXER OMAR</t>
  </si>
  <si>
    <t>jhair552@hotmail.com</t>
  </si>
  <si>
    <t>ASENT.H.CRUCE EL MILAGRO MZ B LT.11</t>
  </si>
  <si>
    <t>LA VICTORIA</t>
  </si>
  <si>
    <t>PUEBLO JOVEN SAN RAFAEL  CALLE EL TUME MZ J LT. 3</t>
  </si>
  <si>
    <t>GC0000273</t>
  </si>
  <si>
    <t>GC0000280</t>
  </si>
  <si>
    <t>GC0000281</t>
  </si>
  <si>
    <t>GC0000282</t>
  </si>
  <si>
    <t>GC0000283</t>
  </si>
  <si>
    <t>ANDRADE</t>
  </si>
  <si>
    <t>RICHETTER</t>
  </si>
  <si>
    <t>GABRIEL ROY</t>
  </si>
  <si>
    <t>Gabrielrichetter99@gmail.com</t>
  </si>
  <si>
    <t>LOS PINOS VILLA JUDICIAL MZ.P LT 11C</t>
  </si>
  <si>
    <t>LA ESPERANZA</t>
  </si>
  <si>
    <t>GC0000284</t>
  </si>
  <si>
    <t>GAMBOA</t>
  </si>
  <si>
    <t>TALAVERA</t>
  </si>
  <si>
    <t>HAROLD BRYAN</t>
  </si>
  <si>
    <t>harold210691@gmail.com</t>
  </si>
  <si>
    <t>CALLE 5 MZ E LT 23 ASENT.H.SAN ANTONIO</t>
  </si>
  <si>
    <t>GC0000285</t>
  </si>
  <si>
    <t>GC0000286</t>
  </si>
  <si>
    <t>GC0000287</t>
  </si>
  <si>
    <t>GC0000288</t>
  </si>
  <si>
    <t>GLEISER ANIBAL</t>
  </si>
  <si>
    <t>gleiserespinozarodas@gmail.com</t>
  </si>
  <si>
    <t>VIVANCO</t>
  </si>
  <si>
    <t>DIEGO LEONEL</t>
  </si>
  <si>
    <t>diegovivancol220704@gmail.com</t>
  </si>
  <si>
    <t>A.H.TUPAC AMARUC MZ B LT 10</t>
  </si>
  <si>
    <t>TACILLA</t>
  </si>
  <si>
    <t>CHAUPE</t>
  </si>
  <si>
    <t>PEDRO</t>
  </si>
  <si>
    <t>Pedrosalazarchilon40@gmail.com</t>
  </si>
  <si>
    <t>CASERIO CONDORPAMPA</t>
  </si>
  <si>
    <t>tacillachaupe-13@gmail.com</t>
  </si>
  <si>
    <t>JR. JORGE CHAVEZ 402</t>
  </si>
  <si>
    <t xml:space="preserve">MZ X LT 10 LAS PALMERAS </t>
  </si>
  <si>
    <t>CASERIO CHIDGEN</t>
  </si>
  <si>
    <t>C. POBLADO REJOPAMPA</t>
  </si>
  <si>
    <t xml:space="preserve">CASERIO CUMUMBAMBA </t>
  </si>
  <si>
    <t>EULOOGIO GARRIDO MZ C LOTE 7 MIRAMAR - ALTO MOCHE</t>
  </si>
  <si>
    <t>CASERIO CUSIPAMPA</t>
  </si>
  <si>
    <t>CAS SANTA CATALINA</t>
  </si>
  <si>
    <t>CALLE JOSE PINELO 429 URB RAZURI</t>
  </si>
  <si>
    <t>jorgeburgosjayasi@gmail.com</t>
  </si>
  <si>
    <t>GC0000289</t>
  </si>
  <si>
    <t>GC0000290</t>
  </si>
  <si>
    <t>JESUS DAVID</t>
  </si>
  <si>
    <t>davidcastrejoncastrejon65@gmail.com</t>
  </si>
  <si>
    <t>CASERIO CHOTEN</t>
  </si>
  <si>
    <t>NARRO</t>
  </si>
  <si>
    <t>BRINGAS</t>
  </si>
  <si>
    <t>CESAR CARLOS</t>
  </si>
  <si>
    <t>cnarro162@gmail.com</t>
  </si>
  <si>
    <t>AV.JORGE CHAVEZ S/N</t>
  </si>
  <si>
    <t>GC0000291</t>
  </si>
  <si>
    <t>GC0000292</t>
  </si>
  <si>
    <t>GC0000293</t>
  </si>
  <si>
    <t>VALDIVIEZO</t>
  </si>
  <si>
    <t>OLIVERA</t>
  </si>
  <si>
    <t>LUIS EDUARDO</t>
  </si>
  <si>
    <t>eduardo.oliverav@gmail.com</t>
  </si>
  <si>
    <t>AV.TUPAC 407</t>
  </si>
  <si>
    <t>pdelacruzv12@unc.edu.pe</t>
  </si>
  <si>
    <t>CASERIO VALLE VERDE</t>
  </si>
  <si>
    <t>TINCO</t>
  </si>
  <si>
    <t>antoniotincogutierrez20@gmail.com</t>
  </si>
  <si>
    <t>APURIMAC</t>
  </si>
  <si>
    <t>PUCAHUASI</t>
  </si>
  <si>
    <t>MALCA</t>
  </si>
  <si>
    <t>ROQUE</t>
  </si>
  <si>
    <t>KEVIN ARNOLD</t>
  </si>
  <si>
    <t>malca_28@hotmail.com</t>
  </si>
  <si>
    <t>CALLE LAS CUCARDAS 255</t>
  </si>
  <si>
    <t>CAJAMRCA</t>
  </si>
  <si>
    <t>JASON JOEL</t>
  </si>
  <si>
    <t>12dragonjoel@gmail.com</t>
  </si>
  <si>
    <t>CALLE HUMBOLT 999 CPM ENRIQUE LOPEZ ALBUJAR</t>
  </si>
  <si>
    <t xml:space="preserve">CORDOVA </t>
  </si>
  <si>
    <t>VICTOR MANUEL</t>
  </si>
  <si>
    <t>victorcordovarodriguez99@gmail.com</t>
  </si>
  <si>
    <t>CALLE RAMON CASTILLA S/N ASENT H TUPAC AMARU</t>
  </si>
  <si>
    <t>SANTIAGO DE CAO</t>
  </si>
  <si>
    <t>GC0000296</t>
  </si>
  <si>
    <t>GC0000294</t>
  </si>
  <si>
    <t>GC0000295</t>
  </si>
  <si>
    <t>SALCEDO</t>
  </si>
  <si>
    <t>LOBATO</t>
  </si>
  <si>
    <r>
      <t> </t>
    </r>
    <r>
      <rPr>
        <sz val="14"/>
        <color theme="1"/>
        <rFont val="Calibri"/>
        <family val="2"/>
        <scheme val="minor"/>
      </rPr>
      <t>948781947 </t>
    </r>
  </si>
  <si>
    <t>Yosvil.lobato@gmail.com</t>
  </si>
  <si>
    <t> PROLONGACIÓN AV. PERÚ C-2 CAJAMARCA </t>
  </si>
  <si>
    <t>BASILIO</t>
  </si>
  <si>
    <t>CARLOS JOAQUIN</t>
  </si>
  <si>
    <t>carlitos.baca26@gmail.com</t>
  </si>
  <si>
    <t>Mz A Lt 18 Urb Rosas de América II</t>
  </si>
  <si>
    <t>GC0000176</t>
  </si>
  <si>
    <t xml:space="preserve">TARRILLO </t>
  </si>
  <si>
    <t>COLLANTES</t>
  </si>
  <si>
    <t>EDWIN ALEXANDER</t>
  </si>
  <si>
    <t>edwintarrillo21@gmail.com</t>
  </si>
  <si>
    <t>SECTOR LA INMACULADA MZ. 45 LT. 26</t>
  </si>
  <si>
    <t>ronalmendozajimenez7@gmail.com</t>
  </si>
  <si>
    <t>YOSVIL ESTANGLY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</si>
</sst>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omic Sans MS"/>
      <family val="4"/>
    </font>
    <font>
      <u/>
      <sz val="15"/>
      <color rgb="FF0070C0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u/>
      <sz val="15"/>
      <color theme="1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000000"/>
      <name val="Helvetica"/>
      <family val="2"/>
    </font>
    <font>
      <sz val="12"/>
      <name val="Calibri"/>
      <family val="2"/>
    </font>
    <font>
      <u/>
      <sz val="15"/>
      <color rgb="FF0070C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9E1F2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7">
    <xf numFmtId="0" fontId="0" fillId="0" borderId="0"/>
    <xf numFmtId="0" fontId="9" fillId="0" borderId="0" applyNumberFormat="0" applyFill="0" applyBorder="0" applyAlignment="0" applyProtection="0"/>
    <xf numFmtId="0" fontId="15" fillId="0" borderId="0"/>
    <xf numFmtId="0" fontId="14" fillId="0" borderId="0"/>
    <xf numFmtId="0" fontId="14" fillId="0" borderId="0"/>
    <xf numFmtId="0" fontId="16" fillId="0" borderId="0"/>
    <xf numFmtId="43" fontId="14" fillId="0" borderId="0" applyFont="0" applyFill="0" applyBorder="0" applyAlignment="0" applyProtection="0"/>
  </cellStyleXfs>
  <cellXfs count="15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14" fontId="3" fillId="3" borderId="3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12" fillId="7" borderId="10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7" borderId="0" xfId="0" applyFont="1" applyFill="1"/>
    <xf numFmtId="49" fontId="11" fillId="7" borderId="9" xfId="0" applyNumberFormat="1" applyFont="1" applyFill="1" applyBorder="1" applyAlignment="1">
      <alignment horizontal="center"/>
    </xf>
    <xf numFmtId="0" fontId="9" fillId="7" borderId="1" xfId="1" applyFill="1" applyBorder="1" applyAlignment="1">
      <alignment horizontal="center"/>
    </xf>
    <xf numFmtId="0" fontId="7" fillId="7" borderId="8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49" fontId="12" fillId="7" borderId="0" xfId="0" applyNumberFormat="1" applyFont="1" applyFill="1" applyAlignment="1">
      <alignment horizontal="center"/>
    </xf>
    <xf numFmtId="0" fontId="14" fillId="7" borderId="1" xfId="2" applyFont="1" applyFill="1" applyBorder="1" applyAlignment="1">
      <alignment horizontal="center"/>
    </xf>
    <xf numFmtId="0" fontId="14" fillId="7" borderId="1" xfId="3" applyFill="1" applyBorder="1" applyAlignment="1">
      <alignment horizontal="left"/>
    </xf>
    <xf numFmtId="0" fontId="14" fillId="7" borderId="1" xfId="3" applyFill="1" applyBorder="1" applyAlignment="1">
      <alignment horizontal="center"/>
    </xf>
    <xf numFmtId="0" fontId="4" fillId="7" borderId="1" xfId="3" applyFont="1" applyFill="1" applyBorder="1" applyAlignment="1">
      <alignment horizontal="center"/>
    </xf>
    <xf numFmtId="14" fontId="2" fillId="7" borderId="1" xfId="5" applyNumberFormat="1" applyFont="1" applyFill="1" applyBorder="1" applyAlignment="1">
      <alignment horizontal="center" vertical="center"/>
    </xf>
    <xf numFmtId="0" fontId="14" fillId="7" borderId="1" xfId="5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/>
    <xf numFmtId="14" fontId="2" fillId="6" borderId="1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2" fillId="5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/>
    </xf>
    <xf numFmtId="14" fontId="20" fillId="7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14" fontId="0" fillId="5" borderId="1" xfId="0" applyNumberForma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2" fillId="8" borderId="1" xfId="0" applyFont="1" applyFill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1" fontId="21" fillId="6" borderId="1" xfId="0" applyNumberFormat="1" applyFont="1" applyFill="1" applyBorder="1" applyAlignment="1">
      <alignment horizontal="center"/>
    </xf>
    <xf numFmtId="0" fontId="21" fillId="6" borderId="1" xfId="0" applyFont="1" applyFill="1" applyBorder="1" applyAlignment="1">
      <alignment horizontal="left"/>
    </xf>
    <xf numFmtId="14" fontId="21" fillId="6" borderId="1" xfId="0" applyNumberFormat="1" applyFont="1" applyFill="1" applyBorder="1" applyAlignment="1">
      <alignment horizontal="center"/>
    </xf>
    <xf numFmtId="14" fontId="21" fillId="5" borderId="1" xfId="0" applyNumberFormat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/>
    </xf>
    <xf numFmtId="0" fontId="23" fillId="5" borderId="8" xfId="0" applyFont="1" applyFill="1" applyBorder="1" applyAlignment="1">
      <alignment horizontal="center" vertical="center"/>
    </xf>
    <xf numFmtId="14" fontId="21" fillId="9" borderId="1" xfId="0" applyNumberFormat="1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 vertical="center"/>
    </xf>
    <xf numFmtId="14" fontId="19" fillId="3" borderId="1" xfId="0" applyNumberFormat="1" applyFont="1" applyFill="1" applyBorder="1" applyAlignment="1">
      <alignment horizontal="center" vertical="center"/>
    </xf>
    <xf numFmtId="164" fontId="19" fillId="3" borderId="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21" fillId="5" borderId="1" xfId="2" applyFont="1" applyFill="1" applyBorder="1" applyAlignment="1">
      <alignment horizontal="center"/>
    </xf>
    <xf numFmtId="0" fontId="21" fillId="0" borderId="1" xfId="3" applyFont="1" applyBorder="1" applyAlignment="1">
      <alignment horizontal="center"/>
    </xf>
    <xf numFmtId="14" fontId="21" fillId="0" borderId="1" xfId="5" applyNumberFormat="1" applyFont="1" applyBorder="1" applyAlignment="1">
      <alignment horizontal="center" vertical="center"/>
    </xf>
    <xf numFmtId="0" fontId="21" fillId="0" borderId="1" xfId="5" applyFont="1" applyBorder="1" applyAlignment="1">
      <alignment horizontal="center"/>
    </xf>
    <xf numFmtId="0" fontId="19" fillId="4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1" fillId="0" borderId="0" xfId="0" applyFont="1"/>
    <xf numFmtId="14" fontId="21" fillId="0" borderId="0" xfId="0" applyNumberFormat="1" applyFont="1"/>
    <xf numFmtId="0" fontId="21" fillId="5" borderId="1" xfId="0" applyFont="1" applyFill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1" fontId="21" fillId="6" borderId="1" xfId="6" applyNumberFormat="1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/>
    </xf>
    <xf numFmtId="14" fontId="21" fillId="5" borderId="3" xfId="0" applyNumberFormat="1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/>
    </xf>
    <xf numFmtId="0" fontId="21" fillId="5" borderId="5" xfId="0" applyFont="1" applyFill="1" applyBorder="1" applyAlignment="1">
      <alignment horizontal="center"/>
    </xf>
    <xf numFmtId="1" fontId="21" fillId="6" borderId="3" xfId="0" applyNumberFormat="1" applyFont="1" applyFill="1" applyBorder="1" applyAlignment="1">
      <alignment horizontal="center"/>
    </xf>
    <xf numFmtId="0" fontId="21" fillId="6" borderId="3" xfId="0" applyFont="1" applyFill="1" applyBorder="1" applyAlignment="1">
      <alignment horizontal="left"/>
    </xf>
    <xf numFmtId="14" fontId="21" fillId="6" borderId="3" xfId="0" applyNumberFormat="1" applyFont="1" applyFill="1" applyBorder="1" applyAlignment="1">
      <alignment horizontal="center"/>
    </xf>
    <xf numFmtId="1" fontId="21" fillId="6" borderId="3" xfId="6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14" fontId="21" fillId="6" borderId="1" xfId="0" applyNumberFormat="1" applyFont="1" applyFill="1" applyBorder="1" applyAlignment="1">
      <alignment horizontal="center" vertical="center"/>
    </xf>
    <xf numFmtId="16" fontId="21" fillId="6" borderId="1" xfId="0" applyNumberFormat="1" applyFont="1" applyFill="1" applyBorder="1" applyAlignment="1">
      <alignment horizontal="left"/>
    </xf>
    <xf numFmtId="0" fontId="21" fillId="5" borderId="1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20" fontId="0" fillId="0" borderId="1" xfId="0" applyNumberFormat="1" applyBorder="1" applyAlignment="1">
      <alignment horizontal="center"/>
    </xf>
    <xf numFmtId="0" fontId="0" fillId="11" borderId="12" xfId="0" applyFill="1" applyBorder="1"/>
    <xf numFmtId="0" fontId="0" fillId="12" borderId="13" xfId="0" applyFill="1" applyBorder="1"/>
    <xf numFmtId="0" fontId="0" fillId="0" borderId="13" xfId="0" applyBorder="1"/>
    <xf numFmtId="0" fontId="0" fillId="0" borderId="14" xfId="0" applyBorder="1"/>
    <xf numFmtId="0" fontId="0" fillId="13" borderId="15" xfId="0" applyFill="1" applyBorder="1"/>
    <xf numFmtId="0" fontId="0" fillId="0" borderId="15" xfId="0" applyBorder="1"/>
    <xf numFmtId="0" fontId="0" fillId="14" borderId="16" xfId="0" applyFill="1" applyBorder="1"/>
    <xf numFmtId="0" fontId="21" fillId="0" borderId="11" xfId="0" applyFont="1" applyBorder="1" applyAlignment="1">
      <alignment horizontal="center"/>
    </xf>
    <xf numFmtId="14" fontId="21" fillId="6" borderId="1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/>
    <xf numFmtId="1" fontId="0" fillId="0" borderId="0" xfId="0" applyNumberFormat="1"/>
    <xf numFmtId="0" fontId="27" fillId="0" borderId="17" xfId="0" applyFont="1" applyBorder="1"/>
    <xf numFmtId="1" fontId="27" fillId="0" borderId="17" xfId="0" applyNumberFormat="1" applyFont="1" applyBorder="1"/>
    <xf numFmtId="0" fontId="28" fillId="0" borderId="1" xfId="1" applyFont="1" applyBorder="1" applyAlignment="1">
      <alignment horizontal="center"/>
    </xf>
    <xf numFmtId="0" fontId="9" fillId="0" borderId="1" xfId="1" applyBorder="1" applyAlignment="1">
      <alignment horizontal="center"/>
    </xf>
    <xf numFmtId="16" fontId="21" fillId="5" borderId="1" xfId="0" applyNumberFormat="1" applyFont="1" applyFill="1" applyBorder="1" applyAlignment="1">
      <alignment horizontal="center"/>
    </xf>
    <xf numFmtId="0" fontId="29" fillId="0" borderId="1" xfId="1" applyFont="1" applyBorder="1" applyAlignment="1">
      <alignment horizontal="center"/>
    </xf>
    <xf numFmtId="0" fontId="22" fillId="8" borderId="3" xfId="0" applyFont="1" applyFill="1" applyBorder="1" applyAlignment="1">
      <alignment horizontal="center" vertical="center"/>
    </xf>
    <xf numFmtId="0" fontId="30" fillId="0" borderId="3" xfId="1" applyFont="1" applyBorder="1" applyAlignment="1">
      <alignment horizontal="center"/>
    </xf>
    <xf numFmtId="0" fontId="30" fillId="0" borderId="1" xfId="1" applyFont="1" applyBorder="1" applyAlignment="1">
      <alignment horizontal="center"/>
    </xf>
    <xf numFmtId="0" fontId="22" fillId="7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0" fontId="31" fillId="0" borderId="1" xfId="1" applyFont="1" applyBorder="1" applyAlignment="1">
      <alignment horizontal="center"/>
    </xf>
    <xf numFmtId="16" fontId="21" fillId="0" borderId="1" xfId="0" applyNumberFormat="1" applyFont="1" applyBorder="1" applyAlignment="1">
      <alignment horizontal="center"/>
    </xf>
    <xf numFmtId="0" fontId="34" fillId="0" borderId="0" xfId="0" applyFont="1"/>
    <xf numFmtId="0" fontId="23" fillId="17" borderId="1" xfId="0" applyFont="1" applyFill="1" applyBorder="1" applyAlignment="1">
      <alignment horizontal="center"/>
    </xf>
    <xf numFmtId="0" fontId="35" fillId="18" borderId="1" xfId="0" applyFont="1" applyFill="1" applyBorder="1" applyAlignment="1">
      <alignment horizontal="center" vertical="center"/>
    </xf>
    <xf numFmtId="14" fontId="23" fillId="17" borderId="1" xfId="0" applyNumberFormat="1" applyFont="1" applyFill="1" applyBorder="1" applyAlignment="1">
      <alignment horizontal="center" vertical="center"/>
    </xf>
    <xf numFmtId="0" fontId="36" fillId="0" borderId="1" xfId="1" applyFont="1" applyFill="1" applyBorder="1" applyAlignment="1">
      <alignment horizontal="center"/>
    </xf>
    <xf numFmtId="0" fontId="23" fillId="17" borderId="1" xfId="0" applyFont="1" applyFill="1" applyBorder="1" applyAlignment="1">
      <alignment horizontal="center" wrapText="1"/>
    </xf>
    <xf numFmtId="0" fontId="23" fillId="17" borderId="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" fontId="23" fillId="19" borderId="1" xfId="0" applyNumberFormat="1" applyFont="1" applyFill="1" applyBorder="1" applyAlignment="1">
      <alignment horizontal="center"/>
    </xf>
    <xf numFmtId="0" fontId="23" fillId="19" borderId="1" xfId="0" applyFont="1" applyFill="1" applyBorder="1" applyAlignment="1">
      <alignment horizontal="left"/>
    </xf>
    <xf numFmtId="14" fontId="23" fillId="20" borderId="1" xfId="0" applyNumberFormat="1" applyFont="1" applyFill="1" applyBorder="1" applyAlignment="1">
      <alignment horizontal="center"/>
    </xf>
    <xf numFmtId="1" fontId="23" fillId="19" borderId="1" xfId="6" applyNumberFormat="1" applyFont="1" applyFill="1" applyBorder="1" applyAlignment="1">
      <alignment horizontal="center"/>
    </xf>
    <xf numFmtId="0" fontId="7" fillId="0" borderId="0" xfId="0" applyFont="1"/>
    <xf numFmtId="0" fontId="7" fillId="17" borderId="0" xfId="0" applyFont="1" applyFill="1"/>
    <xf numFmtId="0" fontId="17" fillId="0" borderId="0" xfId="0" applyFont="1" applyAlignment="1">
      <alignment horizont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</cellXfs>
  <cellStyles count="7">
    <cellStyle name="Hipervínculo" xfId="1" builtinId="8"/>
    <cellStyle name="Millares" xfId="6" builtinId="3"/>
    <cellStyle name="Normal" xfId="0" builtinId="0"/>
    <cellStyle name="Normal 2" xfId="3" xr:uid="{9EDC19B6-575F-4CA0-83A8-2BADE2C85D3B}"/>
    <cellStyle name="Normal 3" xfId="5" xr:uid="{23843758-21DB-4522-B934-598AA06002EB}"/>
    <cellStyle name="Normal 4" xfId="2" xr:uid="{547710E7-DDE7-4616-A090-13C28BDD00CD}"/>
    <cellStyle name="Normal 61" xfId="4" xr:uid="{03C552B3-C503-4850-924B-EC21826CC459}"/>
  </cellStyles>
  <dxfs count="760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larotoribiocarlos@mail.com" TargetMode="External"/><Relationship Id="rId18" Type="http://schemas.openxmlformats.org/officeDocument/2006/relationships/hyperlink" Target="mailto:menaquiliceabraham@gamil.com" TargetMode="External"/><Relationship Id="rId26" Type="http://schemas.openxmlformats.org/officeDocument/2006/relationships/hyperlink" Target="mailto:sorianotantamanuel@gmail.com" TargetMode="External"/><Relationship Id="rId39" Type="http://schemas.openxmlformats.org/officeDocument/2006/relationships/comments" Target="../comments1.xml"/><Relationship Id="rId21" Type="http://schemas.openxmlformats.org/officeDocument/2006/relationships/hyperlink" Target="mailto:Leseminfante@gmail.com" TargetMode="External"/><Relationship Id="rId34" Type="http://schemas.openxmlformats.org/officeDocument/2006/relationships/hyperlink" Target="mailto:12dragonjoel@gmail.com" TargetMode="External"/><Relationship Id="rId7" Type="http://schemas.openxmlformats.org/officeDocument/2006/relationships/hyperlink" Target="mailto:huamanramirezjhon96@gmail.com" TargetMode="External"/><Relationship Id="rId12" Type="http://schemas.openxmlformats.org/officeDocument/2006/relationships/hyperlink" Target="mailto:PABLOGONZALESALVARADO@GMAIL.COM" TargetMode="External"/><Relationship Id="rId17" Type="http://schemas.openxmlformats.org/officeDocument/2006/relationships/hyperlink" Target="mailto:lopezvasqueze55@gmail.com" TargetMode="External"/><Relationship Id="rId25" Type="http://schemas.openxmlformats.org/officeDocument/2006/relationships/hyperlink" Target="mailto:joel19_45@gmail.com" TargetMode="External"/><Relationship Id="rId33" Type="http://schemas.openxmlformats.org/officeDocument/2006/relationships/hyperlink" Target="mailto:cnarro162@gmail.com" TargetMode="External"/><Relationship Id="rId38" Type="http://schemas.openxmlformats.org/officeDocument/2006/relationships/vmlDrawing" Target="../drawings/vmlDrawing1.vml"/><Relationship Id="rId2" Type="http://schemas.openxmlformats.org/officeDocument/2006/relationships/hyperlink" Target="mailto:malca_28@hotmail.com" TargetMode="External"/><Relationship Id="rId16" Type="http://schemas.openxmlformats.org/officeDocument/2006/relationships/hyperlink" Target="mailto:odarrmoises@gmail.com" TargetMode="External"/><Relationship Id="rId20" Type="http://schemas.openxmlformats.org/officeDocument/2006/relationships/hyperlink" Target="mailto:EduardoCC_333@hotmail.com" TargetMode="External"/><Relationship Id="rId29" Type="http://schemas.openxmlformats.org/officeDocument/2006/relationships/hyperlink" Target="mailto:adir.chavez.moreno11@gmail.com" TargetMode="External"/><Relationship Id="rId1" Type="http://schemas.openxmlformats.org/officeDocument/2006/relationships/hyperlink" Target="mailto:eduardo.zamora@grupocredco.com" TargetMode="External"/><Relationship Id="rId6" Type="http://schemas.openxmlformats.org/officeDocument/2006/relationships/hyperlink" Target="mailto:victoralvaradovale2020@gmail.com" TargetMode="External"/><Relationship Id="rId11" Type="http://schemas.openxmlformats.org/officeDocument/2006/relationships/hyperlink" Target="mailto:MILERBARDALESARCE1@GMAIL.COM" TargetMode="External"/><Relationship Id="rId24" Type="http://schemas.openxmlformats.org/officeDocument/2006/relationships/hyperlink" Target="mailto:jhomurbina08@gmail.com" TargetMode="External"/><Relationship Id="rId32" Type="http://schemas.openxmlformats.org/officeDocument/2006/relationships/hyperlink" Target="mailto:jorgeburgosjayasi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rventuraa15@unc.edu.pe" TargetMode="External"/><Relationship Id="rId15" Type="http://schemas.openxmlformats.org/officeDocument/2006/relationships/hyperlink" Target="mailto:bambamarcajfj3@gmail.com" TargetMode="External"/><Relationship Id="rId23" Type="http://schemas.openxmlformats.org/officeDocument/2006/relationships/hyperlink" Target="mailto:hermanperez914@gmail.com" TargetMode="External"/><Relationship Id="rId28" Type="http://schemas.openxmlformats.org/officeDocument/2006/relationships/hyperlink" Target="mailto:bmantillafernandez@gmail.com" TargetMode="External"/><Relationship Id="rId36" Type="http://schemas.openxmlformats.org/officeDocument/2006/relationships/hyperlink" Target="mailto:Yosvil.lobato@gmail.com" TargetMode="External"/><Relationship Id="rId10" Type="http://schemas.openxmlformats.org/officeDocument/2006/relationships/hyperlink" Target="mailto:RONALMENDOZAJIMENEZ27@GMAIL.COM" TargetMode="External"/><Relationship Id="rId19" Type="http://schemas.openxmlformats.org/officeDocument/2006/relationships/hyperlink" Target="mailto:Joel1123carmona@gmail.com" TargetMode="External"/><Relationship Id="rId31" Type="http://schemas.openxmlformats.org/officeDocument/2006/relationships/hyperlink" Target="mailto:tacillachaupe-13@gmail.com" TargetMode="External"/><Relationship Id="rId4" Type="http://schemas.openxmlformats.org/officeDocument/2006/relationships/hyperlink" Target="mailto:ducosyoel@gmail.com" TargetMode="External"/><Relationship Id="rId9" Type="http://schemas.openxmlformats.org/officeDocument/2006/relationships/hyperlink" Target="mailto:yaircerdan770@gmail.com" TargetMode="External"/><Relationship Id="rId14" Type="http://schemas.openxmlformats.org/officeDocument/2006/relationships/hyperlink" Target="mailto:segundosanchezch.12@gmail.com" TargetMode="External"/><Relationship Id="rId22" Type="http://schemas.openxmlformats.org/officeDocument/2006/relationships/hyperlink" Target="mailto:Juanpachamangodiaz66@gmail.com" TargetMode="External"/><Relationship Id="rId27" Type="http://schemas.openxmlformats.org/officeDocument/2006/relationships/hyperlink" Target="mailto:santostantadelacruz625@gmail.com" TargetMode="External"/><Relationship Id="rId30" Type="http://schemas.openxmlformats.org/officeDocument/2006/relationships/hyperlink" Target="mailto:harold210691@gmail.com" TargetMode="External"/><Relationship Id="rId35" Type="http://schemas.openxmlformats.org/officeDocument/2006/relationships/hyperlink" Target="mailto:victorcordovarodriguez99@gmail.com" TargetMode="External"/><Relationship Id="rId8" Type="http://schemas.openxmlformats.org/officeDocument/2006/relationships/hyperlink" Target="mailto:cerdancorojorgeluis@gmail.com" TargetMode="External"/><Relationship Id="rId3" Type="http://schemas.openxmlformats.org/officeDocument/2006/relationships/hyperlink" Target="mailto:yuliniochuquimango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uischavezmoreno@hotmail.com" TargetMode="External"/><Relationship Id="rId13" Type="http://schemas.openxmlformats.org/officeDocument/2006/relationships/hyperlink" Target="mailto:jquispego@gmail.com" TargetMode="External"/><Relationship Id="rId18" Type="http://schemas.openxmlformats.org/officeDocument/2006/relationships/hyperlink" Target="mailto:pablosalazar5644@gmail.com" TargetMode="External"/><Relationship Id="rId3" Type="http://schemas.openxmlformats.org/officeDocument/2006/relationships/hyperlink" Target="mailto:erick.mayta@grupocredco.com" TargetMode="External"/><Relationship Id="rId21" Type="http://schemas.openxmlformats.org/officeDocument/2006/relationships/hyperlink" Target="mailto:ronalmendozajimenez7@gmail.com" TargetMode="External"/><Relationship Id="rId7" Type="http://schemas.openxmlformats.org/officeDocument/2006/relationships/hyperlink" Target="mailto:as5565083@gmail.com" TargetMode="External"/><Relationship Id="rId12" Type="http://schemas.openxmlformats.org/officeDocument/2006/relationships/hyperlink" Target="mailto:73nelsonelvis@gmail.com" TargetMode="External"/><Relationship Id="rId17" Type="http://schemas.openxmlformats.org/officeDocument/2006/relationships/hyperlink" Target="mailto:GONZALESARCE03@GMAIL.COM" TargetMode="External"/><Relationship Id="rId2" Type="http://schemas.openxmlformats.org/officeDocument/2006/relationships/hyperlink" Target="mailto:roberto.veramendi@gru&#243;credco.com" TargetMode="External"/><Relationship Id="rId16" Type="http://schemas.openxmlformats.org/officeDocument/2006/relationships/hyperlink" Target="mailto:enriquetumbajulcaruiz467@gmail.com" TargetMode="External"/><Relationship Id="rId20" Type="http://schemas.openxmlformats.org/officeDocument/2006/relationships/hyperlink" Target="mailto:edinsonjair2021@gmail.com" TargetMode="External"/><Relationship Id="rId1" Type="http://schemas.openxmlformats.org/officeDocument/2006/relationships/hyperlink" Target="mailto:ayltbm@gmail.com.%20RENUNCIO" TargetMode="External"/><Relationship Id="rId6" Type="http://schemas.openxmlformats.org/officeDocument/2006/relationships/hyperlink" Target="mailto:linareshuamanugo@gmail.com" TargetMode="External"/><Relationship Id="rId11" Type="http://schemas.openxmlformats.org/officeDocument/2006/relationships/hyperlink" Target="mailto:Gabrielrichetter99@gmail.com" TargetMode="External"/><Relationship Id="rId5" Type="http://schemas.openxmlformats.org/officeDocument/2006/relationships/hyperlink" Target="mailto:javiercuevahuaman27@gmail.com" TargetMode="External"/><Relationship Id="rId15" Type="http://schemas.openxmlformats.org/officeDocument/2006/relationships/hyperlink" Target="mailto:Tisnadoarresteguijeffersonjampier@gmail.com" TargetMode="External"/><Relationship Id="rId23" Type="http://schemas.openxmlformats.org/officeDocument/2006/relationships/comments" Target="../comments2.xml"/><Relationship Id="rId10" Type="http://schemas.openxmlformats.org/officeDocument/2006/relationships/hyperlink" Target="mailto:charcape_libra@hotmail.com" TargetMode="External"/><Relationship Id="rId19" Type="http://schemas.openxmlformats.org/officeDocument/2006/relationships/hyperlink" Target="mailto:edwintarrillo21@gmail.com" TargetMode="External"/><Relationship Id="rId4" Type="http://schemas.openxmlformats.org/officeDocument/2006/relationships/hyperlink" Target="mailto:moisesmarrufo672@gmail.com" TargetMode="External"/><Relationship Id="rId9" Type="http://schemas.openxmlformats.org/officeDocument/2006/relationships/hyperlink" Target="mailto:jhair552@hotmail.com" TargetMode="External"/><Relationship Id="rId14" Type="http://schemas.openxmlformats.org/officeDocument/2006/relationships/hyperlink" Target="mailto:jquispego@gmail.com" TargetMode="External"/><Relationship Id="rId22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92D050"/>
    <pageSetUpPr fitToPage="1"/>
  </sheetPr>
  <dimension ref="A1:MH83"/>
  <sheetViews>
    <sheetView tabSelected="1" topLeftCell="G1" zoomScale="96" zoomScaleNormal="96" workbookViewId="0">
      <pane ySplit="5" topLeftCell="A16" activePane="bottomLeft" state="frozen"/>
      <selection pane="bottomLeft" activeCell="K88" sqref="K88"/>
    </sheetView>
  </sheetViews>
  <sheetFormatPr baseColWidth="10" defaultColWidth="11.42578125" defaultRowHeight="12.75" x14ac:dyDescent="0.2"/>
  <cols>
    <col min="1" max="1" width="7.42578125" style="1" bestFit="1" customWidth="1"/>
    <col min="2" max="2" width="18.7109375" style="1" customWidth="1"/>
    <col min="3" max="3" width="17.42578125" style="1" customWidth="1"/>
    <col min="4" max="4" width="15" style="1" bestFit="1" customWidth="1"/>
    <col min="5" max="5" width="19.85546875" style="1" customWidth="1"/>
    <col min="6" max="6" width="17" style="1" customWidth="1"/>
    <col min="7" max="7" width="18.42578125" style="1" bestFit="1" customWidth="1"/>
    <col min="8" max="8" width="25.85546875" style="1" bestFit="1" customWidth="1"/>
    <col min="9" max="9" width="26.7109375" style="1" bestFit="1" customWidth="1"/>
    <col min="10" max="10" width="24.7109375" style="1" bestFit="1" customWidth="1"/>
    <col min="11" max="11" width="48.7109375" style="1" bestFit="1" customWidth="1"/>
    <col min="12" max="12" width="12.85546875" style="1" hidden="1" customWidth="1"/>
    <col min="13" max="13" width="26.140625" style="1" hidden="1" customWidth="1"/>
    <col min="14" max="14" width="15.140625" style="1" hidden="1" customWidth="1"/>
    <col min="15" max="15" width="49.42578125" style="1" hidden="1" customWidth="1"/>
    <col min="16" max="16" width="34.28515625" style="1" hidden="1" customWidth="1"/>
    <col min="17" max="17" width="14.42578125" style="1" hidden="1" customWidth="1"/>
    <col min="18" max="18" width="83.85546875" style="1" hidden="1" customWidth="1"/>
    <col min="19" max="19" width="28.42578125" style="1" hidden="1" customWidth="1"/>
    <col min="20" max="20" width="15.42578125" style="1" hidden="1" customWidth="1"/>
    <col min="21" max="21" width="32.42578125" style="1" hidden="1" customWidth="1"/>
    <col min="22" max="22" width="31.42578125" style="1" hidden="1" customWidth="1"/>
    <col min="23" max="23" width="17.42578125" style="1" bestFit="1" customWidth="1"/>
    <col min="24" max="24" width="65" style="1" bestFit="1" customWidth="1"/>
    <col min="25" max="25" width="25.28515625" style="4" bestFit="1" customWidth="1"/>
    <col min="26" max="26" width="19.42578125" style="3" bestFit="1" customWidth="1"/>
    <col min="27" max="27" width="23.140625" style="3" bestFit="1" customWidth="1"/>
    <col min="28" max="28" width="12.140625" style="1" bestFit="1" customWidth="1"/>
    <col min="29" max="29" width="19.7109375" style="1" customWidth="1"/>
    <col min="30" max="30" width="41.85546875" style="1" bestFit="1" customWidth="1"/>
    <col min="31" max="31" width="29.42578125" style="1" bestFit="1" customWidth="1"/>
    <col min="32" max="37" width="28.140625" style="1" customWidth="1"/>
    <col min="38" max="56" width="11.42578125" style="1" customWidth="1"/>
    <col min="57" max="57" width="9.7109375" style="1" customWidth="1"/>
    <col min="58" max="16384" width="11.42578125" style="1"/>
  </cols>
  <sheetData>
    <row r="1" spans="1:147" ht="18" customHeight="1" x14ac:dyDescent="0.2"/>
    <row r="2" spans="1:147" ht="18" customHeight="1" x14ac:dyDescent="0.2"/>
    <row r="3" spans="1:147" ht="18" customHeight="1" x14ac:dyDescent="0.25">
      <c r="B3" s="85" t="s">
        <v>874</v>
      </c>
      <c r="C3" s="86"/>
    </row>
    <row r="4" spans="1:147" ht="15.75" x14ac:dyDescent="0.2">
      <c r="H4" s="1" t="s">
        <v>1019</v>
      </c>
      <c r="AB4" s="152" t="s">
        <v>515</v>
      </c>
      <c r="AC4" s="152"/>
      <c r="AD4" s="152"/>
      <c r="AE4" s="152"/>
    </row>
    <row r="5" spans="1:147" ht="47.25" x14ac:dyDescent="0.2">
      <c r="A5" s="2" t="s">
        <v>0</v>
      </c>
      <c r="B5" s="70" t="s">
        <v>1</v>
      </c>
      <c r="C5" s="70" t="s">
        <v>511</v>
      </c>
      <c r="D5" s="67" t="s">
        <v>2</v>
      </c>
      <c r="E5" s="68" t="s">
        <v>513</v>
      </c>
      <c r="F5" s="68" t="s">
        <v>3</v>
      </c>
      <c r="G5" s="69" t="s">
        <v>4</v>
      </c>
      <c r="H5" s="69" t="s">
        <v>5</v>
      </c>
      <c r="I5" s="69" t="s">
        <v>6</v>
      </c>
      <c r="J5" s="70" t="s">
        <v>7</v>
      </c>
      <c r="K5" s="83" t="s">
        <v>8</v>
      </c>
      <c r="L5" s="70" t="s">
        <v>9</v>
      </c>
      <c r="M5" s="69" t="s">
        <v>10</v>
      </c>
      <c r="N5" s="70" t="s">
        <v>11</v>
      </c>
      <c r="O5" s="70" t="s">
        <v>12</v>
      </c>
      <c r="P5" s="70" t="s">
        <v>13</v>
      </c>
      <c r="Q5" s="70" t="s">
        <v>14</v>
      </c>
      <c r="R5" s="69" t="s">
        <v>15</v>
      </c>
      <c r="S5" s="69" t="s">
        <v>16</v>
      </c>
      <c r="T5" s="69" t="s">
        <v>17</v>
      </c>
      <c r="U5" s="69" t="s">
        <v>18</v>
      </c>
      <c r="V5" s="70" t="s">
        <v>19</v>
      </c>
      <c r="W5" s="70" t="s">
        <v>20</v>
      </c>
      <c r="X5" s="69" t="s">
        <v>21</v>
      </c>
      <c r="Y5" s="70" t="s">
        <v>22</v>
      </c>
      <c r="Z5" s="70" t="s">
        <v>23</v>
      </c>
      <c r="AA5" s="66" t="s">
        <v>24</v>
      </c>
      <c r="AB5" s="53" t="s">
        <v>25</v>
      </c>
      <c r="AC5" s="53" t="s">
        <v>26</v>
      </c>
      <c r="AD5" s="84" t="s">
        <v>875</v>
      </c>
      <c r="AE5" s="84" t="s">
        <v>514</v>
      </c>
      <c r="AF5" s="84" t="s">
        <v>477</v>
      </c>
      <c r="AG5" s="149" t="s">
        <v>882</v>
      </c>
      <c r="AH5" s="150"/>
      <c r="AI5" s="151"/>
      <c r="AJ5" s="84" t="s">
        <v>478</v>
      </c>
      <c r="AK5" s="84" t="s">
        <v>476</v>
      </c>
    </row>
    <row r="6" spans="1:147" hidden="1" x14ac:dyDescent="0.2">
      <c r="A6" s="153" t="s">
        <v>869</v>
      </c>
      <c r="B6" s="154"/>
      <c r="C6" s="15"/>
      <c r="D6" s="15"/>
      <c r="E6" s="15"/>
      <c r="F6" s="16"/>
      <c r="G6" s="5"/>
      <c r="H6" s="5"/>
      <c r="I6" s="5"/>
      <c r="J6" s="6"/>
      <c r="K6" s="17"/>
      <c r="L6" s="6"/>
      <c r="M6" s="5"/>
      <c r="N6" s="6"/>
      <c r="O6" s="6"/>
      <c r="P6" s="6"/>
      <c r="Q6" s="6"/>
      <c r="R6" s="7"/>
      <c r="S6" s="7"/>
      <c r="T6" s="5"/>
      <c r="U6" s="8"/>
      <c r="V6" s="6"/>
      <c r="W6" s="6"/>
      <c r="X6" s="5"/>
      <c r="Y6" s="6"/>
      <c r="Z6" s="6"/>
      <c r="AA6" s="9"/>
      <c r="AB6" s="10"/>
      <c r="AC6" s="10"/>
      <c r="AD6" s="11"/>
      <c r="AE6" s="11"/>
      <c r="AF6" s="11"/>
      <c r="AG6" s="11" t="s">
        <v>884</v>
      </c>
      <c r="AH6" s="11" t="s">
        <v>883</v>
      </c>
      <c r="AI6" s="11" t="s">
        <v>885</v>
      </c>
      <c r="AJ6" s="11"/>
      <c r="AK6" s="11"/>
    </row>
    <row r="7" spans="1:147" ht="19.5" hidden="1" x14ac:dyDescent="0.3">
      <c r="A7" s="54">
        <v>3</v>
      </c>
      <c r="B7" s="54" t="s">
        <v>27</v>
      </c>
      <c r="C7" s="54" t="s">
        <v>512</v>
      </c>
      <c r="D7" s="54" t="s">
        <v>162</v>
      </c>
      <c r="E7" s="54"/>
      <c r="F7" s="54" t="s">
        <v>28</v>
      </c>
      <c r="G7" s="55">
        <v>73067972</v>
      </c>
      <c r="H7" s="54" t="s">
        <v>126</v>
      </c>
      <c r="I7" s="54" t="s">
        <v>127</v>
      </c>
      <c r="J7" s="54" t="s">
        <v>128</v>
      </c>
      <c r="K7" s="56" t="str">
        <f>CONCATENATE(H7," ",I7," ",J7)</f>
        <v>ZAMORA LA TORRE EDUARDO HUMBERTO</v>
      </c>
      <c r="L7" s="54" t="s">
        <v>29</v>
      </c>
      <c r="M7" s="57">
        <v>34954</v>
      </c>
      <c r="N7" s="54">
        <v>961792237</v>
      </c>
      <c r="O7" s="122" t="s">
        <v>229</v>
      </c>
      <c r="P7" s="88" t="s">
        <v>30</v>
      </c>
      <c r="Q7" s="54" t="s">
        <v>27</v>
      </c>
      <c r="R7" s="58" t="s">
        <v>32</v>
      </c>
      <c r="S7" s="54">
        <v>20601242657</v>
      </c>
      <c r="T7" s="54" t="s">
        <v>33</v>
      </c>
      <c r="U7" s="54" t="s">
        <v>123</v>
      </c>
      <c r="V7" s="54" t="s">
        <v>995</v>
      </c>
      <c r="W7" s="54" t="s">
        <v>31</v>
      </c>
      <c r="X7" s="54" t="s">
        <v>180</v>
      </c>
      <c r="Y7" s="54" t="s">
        <v>31</v>
      </c>
      <c r="Z7" s="54" t="s">
        <v>31</v>
      </c>
      <c r="AA7" s="54" t="s">
        <v>31</v>
      </c>
      <c r="AB7" s="59" t="str">
        <f ca="1">DATEDIF(M7,TODAY(),"y")&amp;" AÑOS"</f>
        <v>30 AÑOS</v>
      </c>
      <c r="AC7" s="60" t="s">
        <v>111</v>
      </c>
      <c r="AD7" s="60" t="s">
        <v>27</v>
      </c>
      <c r="AE7" s="60"/>
      <c r="AF7" s="61">
        <v>44258</v>
      </c>
      <c r="AG7" s="59">
        <f ca="1">DATEDIF(AF7,TODAY(),"Y")</f>
        <v>4</v>
      </c>
      <c r="AH7" s="59">
        <f ca="1">DATEDIF(AF7,TODAY(),"YM")</f>
        <v>10</v>
      </c>
      <c r="AI7" s="89">
        <f ca="1">DATEDIF(AF7,TODAY(),"MD")</f>
        <v>27</v>
      </c>
      <c r="AJ7" s="60"/>
      <c r="AK7" s="60"/>
    </row>
    <row r="8" spans="1:147" s="41" customFormat="1" ht="19.5" hidden="1" x14ac:dyDescent="0.3">
      <c r="A8" s="55">
        <v>199</v>
      </c>
      <c r="B8" s="55" t="s">
        <v>27</v>
      </c>
      <c r="C8" s="55" t="s">
        <v>512</v>
      </c>
      <c r="D8" s="55" t="s">
        <v>859</v>
      </c>
      <c r="E8" s="55"/>
      <c r="F8" s="55" t="s">
        <v>28</v>
      </c>
      <c r="G8" s="55">
        <v>71246409</v>
      </c>
      <c r="H8" s="55" t="s">
        <v>857</v>
      </c>
      <c r="I8" s="55" t="s">
        <v>450</v>
      </c>
      <c r="J8" s="55" t="s">
        <v>858</v>
      </c>
      <c r="K8" s="56" t="str">
        <f>CONCATENATE(H8," ",I8," ",J8)</f>
        <v>PESCORÁN CAMPOS MANUEL DAVID</v>
      </c>
      <c r="L8" s="55" t="s">
        <v>29</v>
      </c>
      <c r="M8" s="62">
        <v>35268</v>
      </c>
      <c r="N8" s="55">
        <v>963308915</v>
      </c>
      <c r="O8" s="122" t="s">
        <v>957</v>
      </c>
      <c r="P8" s="87" t="s">
        <v>30</v>
      </c>
      <c r="Q8" s="55" t="s">
        <v>27</v>
      </c>
      <c r="R8" s="64" t="s">
        <v>32</v>
      </c>
      <c r="S8" s="55">
        <v>20601242657</v>
      </c>
      <c r="T8" s="55" t="s">
        <v>33</v>
      </c>
      <c r="U8" s="54" t="s">
        <v>123</v>
      </c>
      <c r="V8" s="55" t="s">
        <v>873</v>
      </c>
      <c r="W8" s="55" t="s">
        <v>45</v>
      </c>
      <c r="X8" s="55" t="s">
        <v>881</v>
      </c>
      <c r="Y8" s="55" t="s">
        <v>34</v>
      </c>
      <c r="Z8" s="55" t="s">
        <v>34</v>
      </c>
      <c r="AA8" s="55" t="s">
        <v>45</v>
      </c>
      <c r="AB8" s="59" t="str">
        <f ca="1">DATEDIF(M8,TODAY(),"y")&amp;" AÑOS"</f>
        <v>29 AÑOS</v>
      </c>
      <c r="AC8" s="60" t="s">
        <v>34</v>
      </c>
      <c r="AD8" s="60" t="s">
        <v>27</v>
      </c>
      <c r="AE8" s="60"/>
      <c r="AF8" s="61">
        <v>45264</v>
      </c>
      <c r="AG8" s="59">
        <f ca="1">DATEDIF(AF8,TODAY(),"Y")</f>
        <v>2</v>
      </c>
      <c r="AH8" s="59">
        <f ca="1">DATEDIF(AF8,TODAY(),"YM")</f>
        <v>1</v>
      </c>
      <c r="AI8" s="89">
        <f ca="1">DATEDIF(AF8,TODAY(),"MD")</f>
        <v>26</v>
      </c>
      <c r="AJ8" s="60"/>
      <c r="AK8" s="60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</row>
    <row r="9" spans="1:147" s="41" customFormat="1" ht="19.5" hidden="1" x14ac:dyDescent="0.3">
      <c r="A9" s="93">
        <v>207</v>
      </c>
      <c r="B9" s="55" t="s">
        <v>27</v>
      </c>
      <c r="C9" s="55" t="s">
        <v>512</v>
      </c>
      <c r="D9" s="55" t="s">
        <v>900</v>
      </c>
      <c r="E9" s="55"/>
      <c r="F9" s="55" t="s">
        <v>28</v>
      </c>
      <c r="G9" s="55">
        <v>72096059</v>
      </c>
      <c r="H9" s="55" t="s">
        <v>915</v>
      </c>
      <c r="I9" s="55" t="s">
        <v>916</v>
      </c>
      <c r="J9" s="55" t="s">
        <v>917</v>
      </c>
      <c r="K9" s="56" t="str">
        <f>CONCATENATE(H9," ",I9," ",J9)</f>
        <v>HUAYLLA LARREA ALVARO JOSÉ</v>
      </c>
      <c r="L9" s="55" t="s">
        <v>29</v>
      </c>
      <c r="M9" s="94">
        <v>34823</v>
      </c>
      <c r="N9" s="95">
        <v>918564131</v>
      </c>
      <c r="O9" s="122" t="s">
        <v>993</v>
      </c>
      <c r="P9" s="87" t="s">
        <v>30</v>
      </c>
      <c r="Q9" s="55" t="s">
        <v>27</v>
      </c>
      <c r="R9" s="64" t="s">
        <v>32</v>
      </c>
      <c r="S9" s="55">
        <v>20601242657</v>
      </c>
      <c r="T9" s="55" t="s">
        <v>33</v>
      </c>
      <c r="U9" s="54" t="s">
        <v>123</v>
      </c>
      <c r="V9" s="55" t="s">
        <v>994</v>
      </c>
      <c r="W9" s="95" t="s">
        <v>31</v>
      </c>
      <c r="X9" s="95" t="s">
        <v>918</v>
      </c>
      <c r="Y9" s="95" t="s">
        <v>31</v>
      </c>
      <c r="Z9" s="95" t="s">
        <v>31</v>
      </c>
      <c r="AA9" s="96" t="s">
        <v>31</v>
      </c>
      <c r="AB9" s="59" t="str">
        <f ca="1">DATEDIF(M9,TODAY(),"y")&amp;" AÑOS"</f>
        <v>30 AÑOS</v>
      </c>
      <c r="AC9" s="98" t="s">
        <v>34</v>
      </c>
      <c r="AD9" s="60" t="s">
        <v>27</v>
      </c>
      <c r="AE9" s="98"/>
      <c r="AF9" s="99">
        <v>45225</v>
      </c>
      <c r="AG9" s="97">
        <f ca="1">DATEDIF(AF9,TODAY(),"Y")</f>
        <v>2</v>
      </c>
      <c r="AH9" s="97">
        <f ca="1">DATEDIF(AF9,TODAY(),"YM")</f>
        <v>3</v>
      </c>
      <c r="AI9" s="100">
        <f ca="1">DATEDIF(AF9,TODAY(),"MD")</f>
        <v>4</v>
      </c>
      <c r="AJ9" s="98"/>
      <c r="AK9" s="98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</row>
    <row r="10" spans="1:147" s="41" customFormat="1" ht="18.75" hidden="1" x14ac:dyDescent="0.3">
      <c r="A10" s="93">
        <v>263</v>
      </c>
      <c r="B10" s="55" t="s">
        <v>27</v>
      </c>
      <c r="C10" s="55" t="s">
        <v>512</v>
      </c>
      <c r="D10" s="55" t="s">
        <v>1267</v>
      </c>
      <c r="E10" s="55"/>
      <c r="F10" s="55" t="s">
        <v>28</v>
      </c>
      <c r="G10" s="55">
        <v>75502801</v>
      </c>
      <c r="H10" s="55" t="s">
        <v>1258</v>
      </c>
      <c r="I10" s="55" t="s">
        <v>192</v>
      </c>
      <c r="J10" s="55" t="s">
        <v>1209</v>
      </c>
      <c r="K10" s="56" t="str">
        <f>CONCATENATE(H10," ",I10," ",J10)</f>
        <v>ODAR RUIZ MOISES</v>
      </c>
      <c r="L10" s="55" t="s">
        <v>29</v>
      </c>
      <c r="M10" s="94">
        <v>36981</v>
      </c>
      <c r="N10" s="95">
        <v>949523727</v>
      </c>
      <c r="O10" s="127" t="s">
        <v>1264</v>
      </c>
      <c r="P10" s="87" t="s">
        <v>30</v>
      </c>
      <c r="Q10" s="55" t="s">
        <v>27</v>
      </c>
      <c r="R10" s="64" t="s">
        <v>32</v>
      </c>
      <c r="S10" s="55">
        <v>20601242658</v>
      </c>
      <c r="T10" s="55" t="s">
        <v>33</v>
      </c>
      <c r="U10" s="54" t="s">
        <v>123</v>
      </c>
      <c r="V10" s="55" t="s">
        <v>994</v>
      </c>
      <c r="W10" s="95" t="s">
        <v>45</v>
      </c>
      <c r="X10" s="95" t="s">
        <v>1383</v>
      </c>
      <c r="Y10" s="95" t="s">
        <v>34</v>
      </c>
      <c r="Z10" s="95" t="s">
        <v>34</v>
      </c>
      <c r="AA10" s="96" t="s">
        <v>45</v>
      </c>
      <c r="AB10" s="59" t="str">
        <f ca="1">DATEDIF(M10,TODAY(),"y")&amp;" AÑOS"</f>
        <v>24 AÑOS</v>
      </c>
      <c r="AC10" s="98" t="s">
        <v>34</v>
      </c>
      <c r="AD10" s="98" t="s">
        <v>34</v>
      </c>
      <c r="AE10" s="98"/>
      <c r="AF10" s="99">
        <v>45932</v>
      </c>
      <c r="AG10" s="97">
        <f ca="1">DATEDIF(AF10,TODAY(),"Y")</f>
        <v>0</v>
      </c>
      <c r="AH10" s="97">
        <f ca="1">DATEDIF(AF10,TODAY(),"YM")</f>
        <v>3</v>
      </c>
      <c r="AI10" s="100">
        <f ca="1">DATEDIF(AF10,TODAY(),"MD")</f>
        <v>28</v>
      </c>
      <c r="AJ10" s="98"/>
      <c r="AK10" s="98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</row>
    <row r="11" spans="1:147" s="41" customFormat="1" ht="19.5" hidden="1" x14ac:dyDescent="0.3">
      <c r="A11" s="55">
        <v>176</v>
      </c>
      <c r="B11" s="55" t="s">
        <v>27</v>
      </c>
      <c r="C11" s="55" t="s">
        <v>512</v>
      </c>
      <c r="D11" s="54" t="s">
        <v>1425</v>
      </c>
      <c r="E11" s="55"/>
      <c r="F11" s="55" t="s">
        <v>28</v>
      </c>
      <c r="G11" s="55">
        <v>72395332</v>
      </c>
      <c r="H11" s="55" t="s">
        <v>1409</v>
      </c>
      <c r="I11" s="55" t="s">
        <v>1410</v>
      </c>
      <c r="J11" s="55" t="s">
        <v>1411</v>
      </c>
      <c r="K11" s="56" t="str">
        <f>CONCATENATE(H11," ",I11," ",J11)</f>
        <v>MALCA ROQUE KEVIN ARNOLD</v>
      </c>
      <c r="L11" s="55" t="s">
        <v>29</v>
      </c>
      <c r="M11" s="62">
        <v>33811</v>
      </c>
      <c r="N11" s="55">
        <v>940128943</v>
      </c>
      <c r="O11" s="132" t="s">
        <v>1412</v>
      </c>
      <c r="P11" s="87" t="s">
        <v>30</v>
      </c>
      <c r="Q11" s="55" t="s">
        <v>27</v>
      </c>
      <c r="R11" s="64" t="s">
        <v>32</v>
      </c>
      <c r="S11" s="54">
        <v>20601242657</v>
      </c>
      <c r="T11" s="55" t="s">
        <v>33</v>
      </c>
      <c r="U11" s="54" t="s">
        <v>123</v>
      </c>
      <c r="V11" s="54" t="s">
        <v>1138</v>
      </c>
      <c r="W11" s="55" t="s">
        <v>31</v>
      </c>
      <c r="X11" s="55" t="s">
        <v>1413</v>
      </c>
      <c r="Y11" s="55" t="s">
        <v>1414</v>
      </c>
      <c r="Z11" s="55" t="s">
        <v>31</v>
      </c>
      <c r="AA11" s="55" t="s">
        <v>1414</v>
      </c>
      <c r="AB11" s="59" t="str">
        <f ca="1">DATEDIF(M11,TODAY(),"y")&amp;" AÑOS"</f>
        <v>33 AÑOS</v>
      </c>
      <c r="AC11" s="60" t="s">
        <v>34</v>
      </c>
      <c r="AD11" s="60" t="s">
        <v>27</v>
      </c>
      <c r="AE11" s="60"/>
      <c r="AF11" s="99">
        <v>46020</v>
      </c>
      <c r="AG11" s="59">
        <f ca="1">DATEDIF(AF11,TODAY(),"Y")</f>
        <v>0</v>
      </c>
      <c r="AH11" s="59">
        <f ca="1">DATEDIF(AF11,TODAY(),"YM")</f>
        <v>1</v>
      </c>
      <c r="AI11" s="89">
        <f ca="1">DATEDIF(AF11,TODAY(),"MD")</f>
        <v>1</v>
      </c>
      <c r="AJ11" s="60"/>
      <c r="AK11" s="60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</row>
    <row r="12" spans="1:147" ht="15.75" hidden="1" x14ac:dyDescent="0.2">
      <c r="A12" s="155" t="s">
        <v>143</v>
      </c>
      <c r="B12" s="156"/>
      <c r="C12" s="67"/>
      <c r="D12" s="67"/>
      <c r="E12" s="67"/>
      <c r="F12" s="68"/>
      <c r="G12" s="69"/>
      <c r="H12" s="69"/>
      <c r="I12" s="69"/>
      <c r="J12" s="70"/>
      <c r="K12" s="71"/>
      <c r="L12" s="70"/>
      <c r="M12" s="72"/>
      <c r="N12" s="73"/>
      <c r="O12" s="73"/>
      <c r="P12" s="72"/>
      <c r="Q12" s="73"/>
      <c r="R12" s="74"/>
      <c r="S12" s="74"/>
      <c r="T12" s="72"/>
      <c r="U12" s="75"/>
      <c r="V12" s="73"/>
      <c r="W12" s="73"/>
      <c r="X12" s="72"/>
      <c r="Y12" s="73"/>
      <c r="Z12" s="73"/>
      <c r="AA12" s="76"/>
      <c r="AB12" s="77"/>
      <c r="AC12" s="77"/>
      <c r="AD12" s="78"/>
      <c r="AE12" s="78"/>
      <c r="AF12" s="78"/>
      <c r="AG12" s="78"/>
      <c r="AH12" s="78"/>
      <c r="AI12" s="78"/>
      <c r="AJ12" s="78"/>
      <c r="AK12" s="78"/>
    </row>
    <row r="13" spans="1:147" ht="19.5" hidden="1" x14ac:dyDescent="0.3">
      <c r="A13" s="55">
        <v>224</v>
      </c>
      <c r="B13" s="55" t="s">
        <v>27</v>
      </c>
      <c r="C13" s="55" t="s">
        <v>512</v>
      </c>
      <c r="D13" s="54" t="s">
        <v>967</v>
      </c>
      <c r="E13" s="55"/>
      <c r="F13" s="55" t="s">
        <v>28</v>
      </c>
      <c r="G13" s="55">
        <v>46581212</v>
      </c>
      <c r="H13" s="55" t="s">
        <v>968</v>
      </c>
      <c r="I13" s="55" t="s">
        <v>842</v>
      </c>
      <c r="J13" s="55" t="s">
        <v>969</v>
      </c>
      <c r="K13" s="56" t="str">
        <f>CONCATENATE(H13," ",I13," ",J13)</f>
        <v>CHUNQUE PINEDO ALEXANDER</v>
      </c>
      <c r="L13" s="55" t="s">
        <v>29</v>
      </c>
      <c r="M13" s="62">
        <v>32929</v>
      </c>
      <c r="N13" s="55">
        <v>993157218</v>
      </c>
      <c r="O13" s="122" t="s">
        <v>1180</v>
      </c>
      <c r="P13" s="87" t="s">
        <v>30</v>
      </c>
      <c r="Q13" s="55" t="s">
        <v>27</v>
      </c>
      <c r="R13" s="64" t="s">
        <v>32</v>
      </c>
      <c r="S13" s="55">
        <v>20601242657</v>
      </c>
      <c r="T13" s="55" t="s">
        <v>33</v>
      </c>
      <c r="U13" s="54" t="s">
        <v>123</v>
      </c>
      <c r="V13" s="54" t="s">
        <v>407</v>
      </c>
      <c r="W13" s="55" t="s">
        <v>31</v>
      </c>
      <c r="X13" s="55" t="s">
        <v>970</v>
      </c>
      <c r="Y13" s="55" t="s">
        <v>31</v>
      </c>
      <c r="Z13" s="55" t="s">
        <v>31</v>
      </c>
      <c r="AA13" s="55" t="s">
        <v>31</v>
      </c>
      <c r="AB13" s="59" t="str">
        <f ca="1">DATEDIF(M13,TODAY(),"y")&amp;" AÑOS"</f>
        <v>35 AÑOS</v>
      </c>
      <c r="AC13" s="60" t="s">
        <v>111</v>
      </c>
      <c r="AD13" s="60" t="s">
        <v>27</v>
      </c>
      <c r="AE13" s="60"/>
      <c r="AF13" s="61">
        <v>45547</v>
      </c>
      <c r="AG13" s="59">
        <f ca="1">DATEDIF(AF13,TODAY(),"Y")</f>
        <v>1</v>
      </c>
      <c r="AH13" s="59">
        <f ca="1">DATEDIF(AF13,TODAY(),"YM")</f>
        <v>4</v>
      </c>
      <c r="AI13" s="89">
        <f ca="1">DATEDIF(AF13,TODAY(),"MD")</f>
        <v>18</v>
      </c>
      <c r="AJ13" s="60"/>
      <c r="AK13" s="60"/>
    </row>
    <row r="14" spans="1:147" ht="15.75" hidden="1" x14ac:dyDescent="0.2">
      <c r="A14" s="155" t="s">
        <v>870</v>
      </c>
      <c r="B14" s="156"/>
      <c r="C14" s="67"/>
      <c r="D14" s="67"/>
      <c r="E14" s="67"/>
      <c r="F14" s="68"/>
      <c r="G14" s="69"/>
      <c r="H14" s="69"/>
      <c r="I14" s="69"/>
      <c r="J14" s="70"/>
      <c r="K14" s="71"/>
      <c r="L14" s="70"/>
      <c r="M14" s="72"/>
      <c r="N14" s="73"/>
      <c r="O14" s="73"/>
      <c r="P14" s="72"/>
      <c r="Q14" s="73"/>
      <c r="R14" s="74"/>
      <c r="S14" s="74"/>
      <c r="T14" s="72"/>
      <c r="U14" s="75"/>
      <c r="V14" s="73"/>
      <c r="W14" s="73"/>
      <c r="X14" s="72"/>
      <c r="Y14" s="73"/>
      <c r="Z14" s="73"/>
      <c r="AA14" s="76"/>
      <c r="AB14" s="77"/>
      <c r="AC14" s="77"/>
      <c r="AD14" s="78"/>
      <c r="AE14" s="78"/>
      <c r="AF14" s="78"/>
      <c r="AG14" s="78"/>
      <c r="AH14" s="78"/>
      <c r="AI14" s="78"/>
      <c r="AJ14" s="78"/>
      <c r="AK14" s="78"/>
    </row>
    <row r="15" spans="1:147" ht="19.5" hidden="1" x14ac:dyDescent="0.3">
      <c r="A15" s="54">
        <v>16</v>
      </c>
      <c r="B15" s="54" t="s">
        <v>27</v>
      </c>
      <c r="C15" s="54" t="s">
        <v>512</v>
      </c>
      <c r="D15" s="54" t="s">
        <v>173</v>
      </c>
      <c r="E15" s="54"/>
      <c r="F15" s="54" t="s">
        <v>28</v>
      </c>
      <c r="G15" s="55">
        <v>73036170</v>
      </c>
      <c r="H15" s="54" t="s">
        <v>86</v>
      </c>
      <c r="I15" s="54" t="s">
        <v>87</v>
      </c>
      <c r="J15" s="54" t="s">
        <v>88</v>
      </c>
      <c r="K15" s="56" t="str">
        <f t="shared" ref="K15:K46" si="0">CONCATENATE(H15," ",I15," ",J15)</f>
        <v>CARRANZA MISAHUAMAN RONAL MIKI</v>
      </c>
      <c r="L15" s="54" t="s">
        <v>29</v>
      </c>
      <c r="M15" s="57">
        <v>34312</v>
      </c>
      <c r="N15" s="54">
        <v>913852748</v>
      </c>
      <c r="O15" s="122" t="s">
        <v>1171</v>
      </c>
      <c r="P15" s="88" t="s">
        <v>30</v>
      </c>
      <c r="Q15" s="54" t="s">
        <v>27</v>
      </c>
      <c r="R15" s="58" t="s">
        <v>32</v>
      </c>
      <c r="S15" s="54">
        <v>20601242657</v>
      </c>
      <c r="T15" s="54" t="s">
        <v>33</v>
      </c>
      <c r="U15" s="54" t="s">
        <v>123</v>
      </c>
      <c r="V15" s="54" t="s">
        <v>102</v>
      </c>
      <c r="W15" s="54" t="s">
        <v>31</v>
      </c>
      <c r="X15" s="54" t="s">
        <v>214</v>
      </c>
      <c r="Y15" s="54" t="s">
        <v>31</v>
      </c>
      <c r="Z15" s="54" t="s">
        <v>31</v>
      </c>
      <c r="AA15" s="54" t="s">
        <v>31</v>
      </c>
      <c r="AB15" s="59" t="str">
        <f t="shared" ref="AB15:AB46" ca="1" si="1">DATEDIF(M15,TODAY(),"y")&amp;" AÑOS"</f>
        <v>32 AÑOS</v>
      </c>
      <c r="AC15" s="60" t="s">
        <v>111</v>
      </c>
      <c r="AD15" s="60" t="s">
        <v>27</v>
      </c>
      <c r="AE15" s="60"/>
      <c r="AF15" s="61">
        <v>44280</v>
      </c>
      <c r="AG15" s="59">
        <f t="shared" ref="AG15:AG46" ca="1" si="2">DATEDIF(AF15,TODAY(),"Y")</f>
        <v>4</v>
      </c>
      <c r="AH15" s="59">
        <f t="shared" ref="AH15:AH46" ca="1" si="3">DATEDIF(AF15,TODAY(),"YM")</f>
        <v>10</v>
      </c>
      <c r="AI15" s="89">
        <f t="shared" ref="AI15:AI46" ca="1" si="4">DATEDIF(AF15,TODAY(),"MD")</f>
        <v>5</v>
      </c>
      <c r="AJ15" s="60"/>
      <c r="AK15" s="60"/>
    </row>
    <row r="16" spans="1:147" ht="19.5" x14ac:dyDescent="0.3">
      <c r="A16" s="54">
        <v>71</v>
      </c>
      <c r="B16" s="54" t="s">
        <v>27</v>
      </c>
      <c r="C16" s="54" t="s">
        <v>512</v>
      </c>
      <c r="D16" s="55" t="s">
        <v>380</v>
      </c>
      <c r="E16" s="55"/>
      <c r="F16" s="54" t="s">
        <v>28</v>
      </c>
      <c r="G16" s="55">
        <v>26731702</v>
      </c>
      <c r="H16" s="54" t="s">
        <v>372</v>
      </c>
      <c r="I16" s="54" t="s">
        <v>373</v>
      </c>
      <c r="J16" s="54" t="s">
        <v>374</v>
      </c>
      <c r="K16" s="56" t="str">
        <f t="shared" si="0"/>
        <v>TERAN  REVILLA NORBERTO</v>
      </c>
      <c r="L16" s="54" t="s">
        <v>29</v>
      </c>
      <c r="M16" s="57">
        <v>28282</v>
      </c>
      <c r="N16" s="54">
        <v>951354747</v>
      </c>
      <c r="O16" s="122" t="s">
        <v>1176</v>
      </c>
      <c r="P16" s="88" t="s">
        <v>30</v>
      </c>
      <c r="Q16" s="54" t="s">
        <v>27</v>
      </c>
      <c r="R16" s="64" t="s">
        <v>32</v>
      </c>
      <c r="S16" s="54">
        <v>20601242657</v>
      </c>
      <c r="T16" s="54" t="s">
        <v>33</v>
      </c>
      <c r="U16" s="54" t="s">
        <v>123</v>
      </c>
      <c r="V16" s="54" t="s">
        <v>102</v>
      </c>
      <c r="W16" s="54" t="s">
        <v>31</v>
      </c>
      <c r="X16" s="54" t="s">
        <v>375</v>
      </c>
      <c r="Y16" s="54" t="s">
        <v>31</v>
      </c>
      <c r="Z16" s="54" t="s">
        <v>31</v>
      </c>
      <c r="AA16" s="54" t="s">
        <v>31</v>
      </c>
      <c r="AB16" s="59" t="str">
        <f t="shared" ca="1" si="1"/>
        <v>48 AÑOS</v>
      </c>
      <c r="AC16" s="60" t="s">
        <v>111</v>
      </c>
      <c r="AD16" s="60" t="s">
        <v>27</v>
      </c>
      <c r="AE16" s="60"/>
      <c r="AF16" s="61">
        <v>44406</v>
      </c>
      <c r="AG16" s="59">
        <f t="shared" ca="1" si="2"/>
        <v>4</v>
      </c>
      <c r="AH16" s="59">
        <f t="shared" ca="1" si="3"/>
        <v>6</v>
      </c>
      <c r="AI16" s="89">
        <f t="shared" ca="1" si="4"/>
        <v>1</v>
      </c>
      <c r="AJ16" s="60"/>
      <c r="AK16" s="60"/>
    </row>
    <row r="17" spans="1:346" ht="19.5" hidden="1" x14ac:dyDescent="0.3">
      <c r="A17" s="54">
        <v>216</v>
      </c>
      <c r="B17" s="54" t="s">
        <v>27</v>
      </c>
      <c r="C17" s="54" t="s">
        <v>512</v>
      </c>
      <c r="D17" s="55" t="s">
        <v>936</v>
      </c>
      <c r="E17" s="124">
        <v>45784</v>
      </c>
      <c r="F17" s="54" t="s">
        <v>28</v>
      </c>
      <c r="G17" s="79">
        <v>71002403</v>
      </c>
      <c r="H17" s="80" t="s">
        <v>937</v>
      </c>
      <c r="I17" s="80" t="s">
        <v>937</v>
      </c>
      <c r="J17" s="80" t="s">
        <v>938</v>
      </c>
      <c r="K17" s="56" t="str">
        <f t="shared" si="0"/>
        <v>ANTICONA ANTICONA HEBER EFRAIN</v>
      </c>
      <c r="L17" s="54" t="s">
        <v>29</v>
      </c>
      <c r="M17" s="81">
        <v>37361</v>
      </c>
      <c r="N17" s="54">
        <v>965451507</v>
      </c>
      <c r="O17" s="122" t="s">
        <v>1154</v>
      </c>
      <c r="P17" s="88" t="s">
        <v>30</v>
      </c>
      <c r="Q17" s="54" t="s">
        <v>27</v>
      </c>
      <c r="R17" s="64" t="s">
        <v>32</v>
      </c>
      <c r="S17" s="54">
        <v>20601242657</v>
      </c>
      <c r="T17" s="54" t="s">
        <v>33</v>
      </c>
      <c r="U17" s="54" t="s">
        <v>123</v>
      </c>
      <c r="V17" s="54" t="s">
        <v>109</v>
      </c>
      <c r="W17" s="80" t="s">
        <v>111</v>
      </c>
      <c r="X17" s="54" t="s">
        <v>939</v>
      </c>
      <c r="Y17" s="80" t="s">
        <v>111</v>
      </c>
      <c r="Z17" s="82" t="s">
        <v>459</v>
      </c>
      <c r="AA17" s="82" t="s">
        <v>45</v>
      </c>
      <c r="AB17" s="59" t="str">
        <f t="shared" ca="1" si="1"/>
        <v>23 AÑOS</v>
      </c>
      <c r="AC17" s="60" t="s">
        <v>111</v>
      </c>
      <c r="AD17" s="60" t="s">
        <v>27</v>
      </c>
      <c r="AE17" s="60"/>
      <c r="AF17" s="61">
        <v>45383</v>
      </c>
      <c r="AG17" s="59">
        <f t="shared" ca="1" si="2"/>
        <v>1</v>
      </c>
      <c r="AH17" s="59">
        <f t="shared" ca="1" si="3"/>
        <v>9</v>
      </c>
      <c r="AI17" s="89">
        <f t="shared" ca="1" si="4"/>
        <v>29</v>
      </c>
      <c r="AJ17" s="60"/>
      <c r="AK17" s="60"/>
    </row>
    <row r="18" spans="1:346" ht="19.5" hidden="1" x14ac:dyDescent="0.3">
      <c r="A18" s="54">
        <v>28</v>
      </c>
      <c r="B18" s="54" t="s">
        <v>27</v>
      </c>
      <c r="C18" s="54" t="s">
        <v>512</v>
      </c>
      <c r="D18" s="54" t="s">
        <v>221</v>
      </c>
      <c r="E18" s="54"/>
      <c r="F18" s="54" t="s">
        <v>28</v>
      </c>
      <c r="G18" s="55">
        <v>70199652</v>
      </c>
      <c r="H18" s="54" t="s">
        <v>47</v>
      </c>
      <c r="I18" s="54" t="s">
        <v>48</v>
      </c>
      <c r="J18" s="54" t="s">
        <v>49</v>
      </c>
      <c r="K18" s="56" t="str">
        <f t="shared" si="0"/>
        <v>CAHUANA CHUQUIMANGO EDILBERTO</v>
      </c>
      <c r="L18" s="54" t="s">
        <v>29</v>
      </c>
      <c r="M18" s="57">
        <v>35464</v>
      </c>
      <c r="N18" s="54">
        <v>962744106</v>
      </c>
      <c r="O18" s="122" t="s">
        <v>1178</v>
      </c>
      <c r="P18" s="88" t="s">
        <v>30</v>
      </c>
      <c r="Q18" s="54" t="s">
        <v>27</v>
      </c>
      <c r="R18" s="58" t="s">
        <v>32</v>
      </c>
      <c r="S18" s="54">
        <v>20601242657</v>
      </c>
      <c r="T18" s="54" t="s">
        <v>33</v>
      </c>
      <c r="U18" s="54" t="s">
        <v>123</v>
      </c>
      <c r="V18" s="54" t="s">
        <v>109</v>
      </c>
      <c r="W18" s="54" t="s">
        <v>31</v>
      </c>
      <c r="X18" s="54" t="s">
        <v>326</v>
      </c>
      <c r="Y18" s="54" t="s">
        <v>31</v>
      </c>
      <c r="Z18" s="54" t="s">
        <v>31</v>
      </c>
      <c r="AA18" s="54" t="s">
        <v>31</v>
      </c>
      <c r="AB18" s="59" t="str">
        <f t="shared" ca="1" si="1"/>
        <v>28 AÑOS</v>
      </c>
      <c r="AC18" s="60" t="s">
        <v>111</v>
      </c>
      <c r="AD18" s="60" t="s">
        <v>27</v>
      </c>
      <c r="AE18" s="60"/>
      <c r="AF18" s="61">
        <v>44288</v>
      </c>
      <c r="AG18" s="59">
        <f t="shared" ca="1" si="2"/>
        <v>4</v>
      </c>
      <c r="AH18" s="59">
        <f t="shared" ca="1" si="3"/>
        <v>9</v>
      </c>
      <c r="AI18" s="89">
        <f t="shared" ca="1" si="4"/>
        <v>28</v>
      </c>
      <c r="AJ18" s="60"/>
      <c r="AK18" s="60"/>
    </row>
    <row r="19" spans="1:346" ht="19.5" hidden="1" x14ac:dyDescent="0.3">
      <c r="A19" s="54">
        <v>5</v>
      </c>
      <c r="B19" s="54" t="s">
        <v>27</v>
      </c>
      <c r="C19" s="54" t="s">
        <v>512</v>
      </c>
      <c r="D19" s="54" t="s">
        <v>165</v>
      </c>
      <c r="E19" s="54"/>
      <c r="F19" s="54" t="s">
        <v>28</v>
      </c>
      <c r="G19" s="55">
        <v>47239686</v>
      </c>
      <c r="H19" s="54" t="s">
        <v>87</v>
      </c>
      <c r="I19" s="54" t="s">
        <v>135</v>
      </c>
      <c r="J19" s="54" t="s">
        <v>136</v>
      </c>
      <c r="K19" s="56" t="str">
        <f t="shared" si="0"/>
        <v>MISAHUAMAN BARDALES FRANKLIN</v>
      </c>
      <c r="L19" s="54" t="s">
        <v>29</v>
      </c>
      <c r="M19" s="57">
        <v>33474</v>
      </c>
      <c r="N19" s="54">
        <v>973455348</v>
      </c>
      <c r="O19" s="122" t="s">
        <v>1172</v>
      </c>
      <c r="P19" s="88" t="s">
        <v>30</v>
      </c>
      <c r="Q19" s="54" t="s">
        <v>27</v>
      </c>
      <c r="R19" s="58" t="s">
        <v>32</v>
      </c>
      <c r="S19" s="54">
        <v>20601242657</v>
      </c>
      <c r="T19" s="54" t="s">
        <v>33</v>
      </c>
      <c r="U19" s="54" t="s">
        <v>123</v>
      </c>
      <c r="V19" s="54" t="s">
        <v>109</v>
      </c>
      <c r="W19" s="54" t="s">
        <v>31</v>
      </c>
      <c r="X19" s="54" t="s">
        <v>146</v>
      </c>
      <c r="Y19" s="54" t="s">
        <v>31</v>
      </c>
      <c r="Z19" s="54" t="s">
        <v>31</v>
      </c>
      <c r="AA19" s="54" t="s">
        <v>31</v>
      </c>
      <c r="AB19" s="59" t="str">
        <f t="shared" ca="1" si="1"/>
        <v>34 AÑOS</v>
      </c>
      <c r="AC19" s="60" t="s">
        <v>111</v>
      </c>
      <c r="AD19" s="60" t="s">
        <v>27</v>
      </c>
      <c r="AE19" s="60"/>
      <c r="AF19" s="61">
        <v>44260</v>
      </c>
      <c r="AG19" s="59">
        <f t="shared" ca="1" si="2"/>
        <v>4</v>
      </c>
      <c r="AH19" s="59">
        <f t="shared" ca="1" si="3"/>
        <v>10</v>
      </c>
      <c r="AI19" s="89">
        <f t="shared" ca="1" si="4"/>
        <v>25</v>
      </c>
      <c r="AJ19" s="60"/>
      <c r="AK19" s="60"/>
    </row>
    <row r="20" spans="1:346" ht="19.5" hidden="1" x14ac:dyDescent="0.3">
      <c r="A20" s="54">
        <v>231</v>
      </c>
      <c r="B20" s="54" t="s">
        <v>27</v>
      </c>
      <c r="C20" s="54" t="s">
        <v>512</v>
      </c>
      <c r="D20" s="55" t="s">
        <v>1021</v>
      </c>
      <c r="E20" s="55"/>
      <c r="F20" s="54" t="s">
        <v>28</v>
      </c>
      <c r="G20" s="55">
        <v>48249505</v>
      </c>
      <c r="H20" s="54" t="s">
        <v>571</v>
      </c>
      <c r="I20" s="54" t="s">
        <v>397</v>
      </c>
      <c r="J20" s="54" t="s">
        <v>1013</v>
      </c>
      <c r="K20" s="56" t="str">
        <f t="shared" si="0"/>
        <v>RAMIREZ POMPA JORGE LUIS ANTONIO</v>
      </c>
      <c r="L20" s="54" t="s">
        <v>29</v>
      </c>
      <c r="M20" s="57">
        <v>34472</v>
      </c>
      <c r="N20" s="54">
        <v>948526376</v>
      </c>
      <c r="O20" s="122" t="s">
        <v>1160</v>
      </c>
      <c r="P20" s="88" t="s">
        <v>30</v>
      </c>
      <c r="Q20" s="54" t="s">
        <v>27</v>
      </c>
      <c r="R20" s="64" t="s">
        <v>32</v>
      </c>
      <c r="S20" s="54">
        <v>20601242657</v>
      </c>
      <c r="T20" s="54" t="s">
        <v>33</v>
      </c>
      <c r="U20" s="54" t="s">
        <v>123</v>
      </c>
      <c r="V20" s="54" t="s">
        <v>109</v>
      </c>
      <c r="W20" s="54" t="s">
        <v>31</v>
      </c>
      <c r="X20" s="54" t="s">
        <v>1012</v>
      </c>
      <c r="Y20" s="54" t="s">
        <v>31</v>
      </c>
      <c r="Z20" s="54" t="s">
        <v>31</v>
      </c>
      <c r="AA20" s="54" t="s">
        <v>31</v>
      </c>
      <c r="AB20" s="59" t="str">
        <f t="shared" ca="1" si="1"/>
        <v>31 AÑOS</v>
      </c>
      <c r="AC20" s="60" t="s">
        <v>111</v>
      </c>
      <c r="AD20" s="60" t="s">
        <v>27</v>
      </c>
      <c r="AE20" s="60"/>
      <c r="AF20" s="61">
        <v>45648</v>
      </c>
      <c r="AG20" s="59">
        <f t="shared" ca="1" si="2"/>
        <v>1</v>
      </c>
      <c r="AH20" s="59">
        <f t="shared" ca="1" si="3"/>
        <v>1</v>
      </c>
      <c r="AI20" s="89">
        <f t="shared" ca="1" si="4"/>
        <v>8</v>
      </c>
      <c r="AJ20" s="60"/>
      <c r="AK20" s="60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41"/>
      <c r="JG20" s="41"/>
      <c r="JH20" s="41"/>
      <c r="JI20" s="41"/>
      <c r="JJ20" s="41"/>
      <c r="JK20" s="41"/>
      <c r="JL20" s="41"/>
      <c r="JM20" s="41"/>
      <c r="JN20" s="41"/>
      <c r="JO20" s="41"/>
      <c r="JP20" s="41"/>
      <c r="JQ20" s="41"/>
      <c r="JR20" s="41"/>
      <c r="JS20" s="41"/>
      <c r="JT20" s="41"/>
      <c r="JU20" s="41"/>
      <c r="JV20" s="41"/>
      <c r="JW20" s="41"/>
      <c r="JX20" s="41"/>
      <c r="JY20" s="41"/>
      <c r="JZ20" s="41"/>
      <c r="KA20" s="41"/>
      <c r="KB20" s="41"/>
      <c r="KC20" s="41"/>
      <c r="KD20" s="41"/>
      <c r="KE20" s="41"/>
      <c r="KF20" s="41"/>
      <c r="KG20" s="41"/>
      <c r="KH20" s="41"/>
      <c r="KI20" s="41"/>
      <c r="KJ20" s="41"/>
      <c r="KK20" s="41"/>
      <c r="KL20" s="41"/>
      <c r="KM20" s="41"/>
      <c r="KN20" s="41"/>
      <c r="KO20" s="41"/>
      <c r="KP20" s="41"/>
      <c r="KQ20" s="41"/>
      <c r="KR20" s="41"/>
      <c r="KS20" s="41"/>
      <c r="KT20" s="41"/>
      <c r="KU20" s="41"/>
      <c r="KV20" s="41"/>
      <c r="KW20" s="41"/>
      <c r="KX20" s="41"/>
      <c r="KY20" s="41"/>
      <c r="KZ20" s="41"/>
      <c r="LA20" s="41"/>
      <c r="LB20" s="41"/>
      <c r="LC20" s="41"/>
      <c r="LD20" s="41"/>
      <c r="LE20" s="41"/>
      <c r="LF20" s="41"/>
      <c r="LG20" s="41"/>
      <c r="LH20" s="41"/>
      <c r="LI20" s="41"/>
      <c r="LJ20" s="41"/>
      <c r="LK20" s="41"/>
      <c r="LL20" s="41"/>
      <c r="LM20" s="41"/>
      <c r="LN20" s="41"/>
      <c r="LO20" s="41"/>
      <c r="LP20" s="41"/>
      <c r="LQ20" s="41"/>
      <c r="LR20" s="41"/>
      <c r="LS20" s="41"/>
      <c r="LT20" s="41"/>
      <c r="LU20" s="41"/>
      <c r="LV20" s="41"/>
      <c r="LW20" s="41"/>
      <c r="LX20" s="41"/>
      <c r="LY20" s="41"/>
      <c r="LZ20" s="41"/>
      <c r="MA20" s="41"/>
      <c r="MB20" s="41"/>
      <c r="MC20" s="41"/>
      <c r="MD20" s="41"/>
      <c r="ME20" s="41"/>
      <c r="MF20" s="41"/>
      <c r="MG20" s="41"/>
      <c r="MH20" s="41"/>
    </row>
    <row r="21" spans="1:346" ht="19.5" x14ac:dyDescent="0.3">
      <c r="A21" s="54">
        <v>232</v>
      </c>
      <c r="B21" s="54" t="s">
        <v>27</v>
      </c>
      <c r="C21" s="54" t="s">
        <v>512</v>
      </c>
      <c r="D21" s="55" t="s">
        <v>1023</v>
      </c>
      <c r="E21" s="55"/>
      <c r="F21" s="54" t="s">
        <v>28</v>
      </c>
      <c r="G21" s="55">
        <v>75342164</v>
      </c>
      <c r="H21" s="54" t="s">
        <v>40</v>
      </c>
      <c r="I21" s="54" t="s">
        <v>1010</v>
      </c>
      <c r="J21" s="54" t="s">
        <v>1011</v>
      </c>
      <c r="K21" s="56" t="str">
        <f t="shared" si="0"/>
        <v>ROJAS ABAD BRYAN DENNIS</v>
      </c>
      <c r="L21" s="54" t="s">
        <v>29</v>
      </c>
      <c r="M21" s="57">
        <v>35790</v>
      </c>
      <c r="N21" s="54">
        <v>938663062</v>
      </c>
      <c r="O21" s="122" t="s">
        <v>1187</v>
      </c>
      <c r="P21" s="88" t="s">
        <v>30</v>
      </c>
      <c r="Q21" s="54" t="s">
        <v>27</v>
      </c>
      <c r="R21" s="64" t="s">
        <v>32</v>
      </c>
      <c r="S21" s="54">
        <v>20601242657</v>
      </c>
      <c r="T21" s="54" t="s">
        <v>33</v>
      </c>
      <c r="U21" s="54" t="s">
        <v>123</v>
      </c>
      <c r="V21" s="54" t="s">
        <v>109</v>
      </c>
      <c r="W21" s="54" t="s">
        <v>149</v>
      </c>
      <c r="X21" s="54" t="s">
        <v>1009</v>
      </c>
      <c r="Y21" s="54" t="s">
        <v>1008</v>
      </c>
      <c r="Z21" s="54" t="s">
        <v>1008</v>
      </c>
      <c r="AA21" s="54" t="s">
        <v>149</v>
      </c>
      <c r="AB21" s="59" t="str">
        <f t="shared" ca="1" si="1"/>
        <v>28 AÑOS</v>
      </c>
      <c r="AC21" s="60" t="s">
        <v>34</v>
      </c>
      <c r="AD21" s="60" t="s">
        <v>27</v>
      </c>
      <c r="AE21" s="60"/>
      <c r="AF21" s="61">
        <v>45648</v>
      </c>
      <c r="AG21" s="59">
        <f t="shared" ca="1" si="2"/>
        <v>1</v>
      </c>
      <c r="AH21" s="59">
        <f t="shared" ca="1" si="3"/>
        <v>1</v>
      </c>
      <c r="AI21" s="89">
        <f t="shared" ca="1" si="4"/>
        <v>8</v>
      </c>
      <c r="AJ21" s="60"/>
      <c r="AK21" s="60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41"/>
      <c r="JB21" s="41"/>
      <c r="JC21" s="41"/>
      <c r="JD21" s="41"/>
      <c r="JE21" s="41"/>
      <c r="JF21" s="41"/>
      <c r="JG21" s="41"/>
      <c r="JH21" s="41"/>
      <c r="JI21" s="41"/>
      <c r="JJ21" s="41"/>
      <c r="JK21" s="41"/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1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1"/>
      <c r="KR21" s="41"/>
      <c r="KS21" s="41"/>
      <c r="KT21" s="41"/>
      <c r="KU21" s="41"/>
      <c r="KV21" s="41"/>
      <c r="KW21" s="41"/>
      <c r="KX21" s="41"/>
      <c r="KY21" s="41"/>
      <c r="KZ21" s="41"/>
      <c r="LA21" s="41"/>
      <c r="LB21" s="41"/>
      <c r="LC21" s="41"/>
      <c r="LD21" s="41"/>
      <c r="LE21" s="41"/>
      <c r="LF21" s="41"/>
      <c r="LG21" s="41"/>
      <c r="LH21" s="41"/>
      <c r="LI21" s="41"/>
      <c r="LJ21" s="41"/>
      <c r="LK21" s="41"/>
      <c r="LL21" s="41"/>
      <c r="LM21" s="41"/>
      <c r="LN21" s="41"/>
      <c r="LO21" s="41"/>
      <c r="LP21" s="41"/>
      <c r="LQ21" s="41"/>
      <c r="LR21" s="41"/>
      <c r="LS21" s="41"/>
      <c r="LT21" s="41"/>
      <c r="LU21" s="41"/>
      <c r="LV21" s="41"/>
      <c r="LW21" s="41"/>
      <c r="LX21" s="41"/>
      <c r="LY21" s="41"/>
      <c r="LZ21" s="41"/>
      <c r="MA21" s="41"/>
      <c r="MB21" s="41"/>
      <c r="MC21" s="41"/>
      <c r="MD21" s="41"/>
      <c r="ME21" s="41"/>
      <c r="MF21" s="41"/>
      <c r="MG21" s="41"/>
      <c r="MH21" s="41"/>
    </row>
    <row r="22" spans="1:346" ht="19.5" hidden="1" x14ac:dyDescent="0.3">
      <c r="A22" s="54">
        <v>7</v>
      </c>
      <c r="B22" s="54" t="s">
        <v>27</v>
      </c>
      <c r="C22" s="54" t="s">
        <v>512</v>
      </c>
      <c r="D22" s="54" t="s">
        <v>167</v>
      </c>
      <c r="E22" s="133">
        <v>46148</v>
      </c>
      <c r="F22" s="54" t="s">
        <v>28</v>
      </c>
      <c r="G22" s="55">
        <v>72444479</v>
      </c>
      <c r="H22" s="54" t="s">
        <v>40</v>
      </c>
      <c r="I22" s="54" t="s">
        <v>138</v>
      </c>
      <c r="J22" s="54" t="s">
        <v>139</v>
      </c>
      <c r="K22" s="56" t="str">
        <f t="shared" si="0"/>
        <v>ROJAS PEÑA ROSMA ROEL</v>
      </c>
      <c r="L22" s="54" t="s">
        <v>29</v>
      </c>
      <c r="M22" s="57">
        <v>34884</v>
      </c>
      <c r="N22" s="54">
        <v>941260424</v>
      </c>
      <c r="O22" s="122" t="s">
        <v>1158</v>
      </c>
      <c r="P22" s="88" t="s">
        <v>30</v>
      </c>
      <c r="Q22" s="54" t="s">
        <v>27</v>
      </c>
      <c r="R22" s="58" t="s">
        <v>32</v>
      </c>
      <c r="S22" s="54">
        <v>20601242657</v>
      </c>
      <c r="T22" s="54" t="s">
        <v>33</v>
      </c>
      <c r="U22" s="54" t="s">
        <v>123</v>
      </c>
      <c r="V22" s="54" t="s">
        <v>109</v>
      </c>
      <c r="W22" s="54" t="s">
        <v>149</v>
      </c>
      <c r="X22" s="54" t="s">
        <v>148</v>
      </c>
      <c r="Y22" s="54" t="s">
        <v>840</v>
      </c>
      <c r="Z22" s="54" t="s">
        <v>149</v>
      </c>
      <c r="AA22" s="54" t="s">
        <v>149</v>
      </c>
      <c r="AB22" s="59" t="str">
        <f t="shared" ca="1" si="1"/>
        <v>30 AÑOS</v>
      </c>
      <c r="AC22" s="60" t="s">
        <v>34</v>
      </c>
      <c r="AD22" s="60" t="s">
        <v>27</v>
      </c>
      <c r="AE22" s="60"/>
      <c r="AF22" s="61">
        <v>44266</v>
      </c>
      <c r="AG22" s="59">
        <f t="shared" ca="1" si="2"/>
        <v>4</v>
      </c>
      <c r="AH22" s="59">
        <f t="shared" ca="1" si="3"/>
        <v>10</v>
      </c>
      <c r="AI22" s="89">
        <f t="shared" ca="1" si="4"/>
        <v>19</v>
      </c>
      <c r="AJ22" s="60"/>
      <c r="AK22" s="60"/>
    </row>
    <row r="23" spans="1:346" s="41" customFormat="1" ht="19.5" hidden="1" x14ac:dyDescent="0.3">
      <c r="A23" s="55">
        <v>163</v>
      </c>
      <c r="B23" s="55" t="s">
        <v>27</v>
      </c>
      <c r="C23" s="55" t="s">
        <v>512</v>
      </c>
      <c r="D23" s="55" t="s">
        <v>701</v>
      </c>
      <c r="E23" s="55"/>
      <c r="F23" s="55" t="s">
        <v>28</v>
      </c>
      <c r="G23" s="55">
        <v>47084997</v>
      </c>
      <c r="H23" s="55" t="s">
        <v>674</v>
      </c>
      <c r="I23" s="55" t="s">
        <v>675</v>
      </c>
      <c r="J23" s="55" t="s">
        <v>676</v>
      </c>
      <c r="K23" s="56" t="str">
        <f t="shared" si="0"/>
        <v>BURGOS  JAYASI JORGE</v>
      </c>
      <c r="L23" s="55" t="s">
        <v>29</v>
      </c>
      <c r="M23" s="62">
        <v>33402</v>
      </c>
      <c r="N23" s="55">
        <v>954977215</v>
      </c>
      <c r="O23" s="122" t="s">
        <v>1384</v>
      </c>
      <c r="P23" s="87" t="s">
        <v>30</v>
      </c>
      <c r="Q23" s="55" t="s">
        <v>27</v>
      </c>
      <c r="R23" s="64" t="s">
        <v>32</v>
      </c>
      <c r="S23" s="54">
        <v>20601242657</v>
      </c>
      <c r="T23" s="55" t="s">
        <v>33</v>
      </c>
      <c r="U23" s="54" t="s">
        <v>123</v>
      </c>
      <c r="V23" s="54" t="s">
        <v>285</v>
      </c>
      <c r="W23" s="55" t="s">
        <v>31</v>
      </c>
      <c r="X23" s="55" t="s">
        <v>677</v>
      </c>
      <c r="Y23" s="55" t="s">
        <v>509</v>
      </c>
      <c r="Z23" s="55" t="s">
        <v>31</v>
      </c>
      <c r="AA23" s="55" t="s">
        <v>31</v>
      </c>
      <c r="AB23" s="59" t="str">
        <f t="shared" ca="1" si="1"/>
        <v>34 AÑOS</v>
      </c>
      <c r="AC23" s="60" t="s">
        <v>111</v>
      </c>
      <c r="AD23" s="60" t="s">
        <v>27</v>
      </c>
      <c r="AE23" s="60"/>
      <c r="AF23" s="65">
        <v>44951</v>
      </c>
      <c r="AG23" s="59">
        <f t="shared" ca="1" si="2"/>
        <v>3</v>
      </c>
      <c r="AH23" s="59">
        <f t="shared" ca="1" si="3"/>
        <v>0</v>
      </c>
      <c r="AI23" s="89">
        <f t="shared" ca="1" si="4"/>
        <v>5</v>
      </c>
      <c r="AJ23" s="60"/>
      <c r="AK23" s="60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</row>
    <row r="24" spans="1:346" s="41" customFormat="1" ht="19.5" hidden="1" x14ac:dyDescent="0.3">
      <c r="A24" s="55">
        <v>203</v>
      </c>
      <c r="B24" s="55" t="s">
        <v>27</v>
      </c>
      <c r="C24" s="55" t="s">
        <v>512</v>
      </c>
      <c r="D24" s="54" t="s">
        <v>902</v>
      </c>
      <c r="E24" s="55"/>
      <c r="F24" s="55" t="s">
        <v>28</v>
      </c>
      <c r="G24" s="55">
        <v>47170380</v>
      </c>
      <c r="H24" s="55" t="s">
        <v>84</v>
      </c>
      <c r="I24" s="55" t="s">
        <v>842</v>
      </c>
      <c r="J24" s="55" t="s">
        <v>893</v>
      </c>
      <c r="K24" s="56" t="str">
        <f t="shared" si="0"/>
        <v>DURAN PINEDO ELI</v>
      </c>
      <c r="L24" s="54" t="s">
        <v>29</v>
      </c>
      <c r="M24" s="62">
        <v>31649</v>
      </c>
      <c r="N24" s="55">
        <v>942281106</v>
      </c>
      <c r="O24" s="122" t="s">
        <v>1157</v>
      </c>
      <c r="P24" s="87" t="s">
        <v>30</v>
      </c>
      <c r="Q24" s="55" t="s">
        <v>27</v>
      </c>
      <c r="R24" s="64" t="s">
        <v>32</v>
      </c>
      <c r="S24" s="54">
        <v>20601242657</v>
      </c>
      <c r="T24" s="55" t="s">
        <v>33</v>
      </c>
      <c r="U24" s="54" t="s">
        <v>123</v>
      </c>
      <c r="V24" s="54" t="s">
        <v>285</v>
      </c>
      <c r="W24" s="55" t="s">
        <v>31</v>
      </c>
      <c r="X24" s="54" t="s">
        <v>894</v>
      </c>
      <c r="Y24" s="55" t="s">
        <v>31</v>
      </c>
      <c r="Z24" s="55" t="s">
        <v>31</v>
      </c>
      <c r="AA24" s="55" t="s">
        <v>31</v>
      </c>
      <c r="AB24" s="59" t="str">
        <f t="shared" ca="1" si="1"/>
        <v>39 AÑOS</v>
      </c>
      <c r="AC24" s="60" t="s">
        <v>111</v>
      </c>
      <c r="AD24" s="60" t="s">
        <v>27</v>
      </c>
      <c r="AE24" s="60"/>
      <c r="AF24" s="61">
        <v>45316</v>
      </c>
      <c r="AG24" s="59">
        <f t="shared" ca="1" si="2"/>
        <v>2</v>
      </c>
      <c r="AH24" s="59">
        <f t="shared" ca="1" si="3"/>
        <v>0</v>
      </c>
      <c r="AI24" s="89">
        <f t="shared" ca="1" si="4"/>
        <v>5</v>
      </c>
      <c r="AJ24" s="60"/>
      <c r="AK24" s="60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</row>
    <row r="25" spans="1:346" s="41" customFormat="1" ht="19.5" x14ac:dyDescent="0.3">
      <c r="A25" s="55">
        <v>96</v>
      </c>
      <c r="B25" s="55" t="s">
        <v>27</v>
      </c>
      <c r="C25" s="54" t="s">
        <v>512</v>
      </c>
      <c r="D25" s="55" t="s">
        <v>528</v>
      </c>
      <c r="E25" s="124">
        <v>45784</v>
      </c>
      <c r="F25" s="54" t="s">
        <v>28</v>
      </c>
      <c r="G25" s="55">
        <v>73635435</v>
      </c>
      <c r="H25" s="55" t="s">
        <v>79</v>
      </c>
      <c r="I25" s="55" t="s">
        <v>519</v>
      </c>
      <c r="J25" s="55" t="s">
        <v>520</v>
      </c>
      <c r="K25" s="56" t="str">
        <f t="shared" si="0"/>
        <v>LINARES BLONDET LUIS II</v>
      </c>
      <c r="L25" s="54" t="s">
        <v>29</v>
      </c>
      <c r="M25" s="62">
        <v>34656</v>
      </c>
      <c r="N25" s="55">
        <v>961749499</v>
      </c>
      <c r="O25" s="122" t="s">
        <v>1155</v>
      </c>
      <c r="P25" s="88" t="s">
        <v>30</v>
      </c>
      <c r="Q25" s="54" t="s">
        <v>27</v>
      </c>
      <c r="R25" s="64" t="s">
        <v>32</v>
      </c>
      <c r="S25" s="54">
        <v>20601242657</v>
      </c>
      <c r="T25" s="54" t="s">
        <v>33</v>
      </c>
      <c r="U25" s="54" t="s">
        <v>123</v>
      </c>
      <c r="V25" s="54" t="s">
        <v>285</v>
      </c>
      <c r="W25" s="55" t="s">
        <v>333</v>
      </c>
      <c r="X25" s="55" t="s">
        <v>1202</v>
      </c>
      <c r="Y25" s="55" t="s">
        <v>522</v>
      </c>
      <c r="Z25" s="55" t="s">
        <v>521</v>
      </c>
      <c r="AA25" s="55" t="s">
        <v>333</v>
      </c>
      <c r="AB25" s="59" t="str">
        <f t="shared" ca="1" si="1"/>
        <v>31 AÑOS</v>
      </c>
      <c r="AC25" s="60" t="s">
        <v>34</v>
      </c>
      <c r="AD25" s="60" t="s">
        <v>27</v>
      </c>
      <c r="AE25" s="60"/>
      <c r="AF25" s="61">
        <v>44629</v>
      </c>
      <c r="AG25" s="59">
        <f t="shared" ca="1" si="2"/>
        <v>3</v>
      </c>
      <c r="AH25" s="59">
        <f t="shared" ca="1" si="3"/>
        <v>10</v>
      </c>
      <c r="AI25" s="89">
        <f t="shared" ca="1" si="4"/>
        <v>21</v>
      </c>
      <c r="AJ25" s="61"/>
      <c r="AK25" s="6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</row>
    <row r="26" spans="1:346" s="41" customFormat="1" ht="19.5" hidden="1" x14ac:dyDescent="0.3">
      <c r="A26" s="55">
        <v>166</v>
      </c>
      <c r="B26" s="55" t="s">
        <v>27</v>
      </c>
      <c r="C26" s="55" t="s">
        <v>512</v>
      </c>
      <c r="D26" s="55" t="s">
        <v>714</v>
      </c>
      <c r="E26" s="55"/>
      <c r="F26" s="55" t="s">
        <v>28</v>
      </c>
      <c r="G26" s="55">
        <v>71232355</v>
      </c>
      <c r="H26" s="55" t="s">
        <v>705</v>
      </c>
      <c r="I26" s="55" t="s">
        <v>842</v>
      </c>
      <c r="J26" s="55" t="s">
        <v>706</v>
      </c>
      <c r="K26" s="56" t="str">
        <f t="shared" si="0"/>
        <v>LLAMOGA  PINEDO JAIME</v>
      </c>
      <c r="L26" s="54" t="s">
        <v>29</v>
      </c>
      <c r="M26" s="62">
        <v>34313</v>
      </c>
      <c r="N26" s="55">
        <v>987654967</v>
      </c>
      <c r="O26" s="122" t="s">
        <v>1163</v>
      </c>
      <c r="P26" s="87" t="s">
        <v>30</v>
      </c>
      <c r="Q26" s="55" t="s">
        <v>27</v>
      </c>
      <c r="R26" s="64" t="s">
        <v>32</v>
      </c>
      <c r="S26" s="54">
        <v>20601242657</v>
      </c>
      <c r="T26" s="55" t="s">
        <v>33</v>
      </c>
      <c r="U26" s="54" t="s">
        <v>123</v>
      </c>
      <c r="V26" s="54" t="s">
        <v>285</v>
      </c>
      <c r="W26" s="55" t="s">
        <v>31</v>
      </c>
      <c r="X26" s="55" t="s">
        <v>707</v>
      </c>
      <c r="Y26" s="55" t="s">
        <v>708</v>
      </c>
      <c r="Z26" s="55" t="s">
        <v>31</v>
      </c>
      <c r="AA26" s="55" t="s">
        <v>31</v>
      </c>
      <c r="AB26" s="59" t="str">
        <f t="shared" ca="1" si="1"/>
        <v>32 AÑOS</v>
      </c>
      <c r="AC26" s="60" t="s">
        <v>111</v>
      </c>
      <c r="AD26" s="60" t="s">
        <v>27</v>
      </c>
      <c r="AE26" s="60"/>
      <c r="AF26" s="65">
        <v>44965</v>
      </c>
      <c r="AG26" s="59">
        <f t="shared" ca="1" si="2"/>
        <v>2</v>
      </c>
      <c r="AH26" s="59">
        <f t="shared" ca="1" si="3"/>
        <v>11</v>
      </c>
      <c r="AI26" s="89">
        <f t="shared" ca="1" si="4"/>
        <v>22</v>
      </c>
      <c r="AJ26" s="60"/>
      <c r="AK26" s="60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</row>
    <row r="27" spans="1:346" s="41" customFormat="1" ht="19.5" x14ac:dyDescent="0.3">
      <c r="A27" s="55">
        <v>179</v>
      </c>
      <c r="B27" s="55" t="s">
        <v>27</v>
      </c>
      <c r="C27" s="55" t="s">
        <v>512</v>
      </c>
      <c r="D27" s="55" t="s">
        <v>780</v>
      </c>
      <c r="E27" s="55"/>
      <c r="F27" s="55" t="s">
        <v>28</v>
      </c>
      <c r="G27" s="55">
        <v>43211300</v>
      </c>
      <c r="H27" s="55" t="s">
        <v>737</v>
      </c>
      <c r="I27" s="55" t="s">
        <v>776</v>
      </c>
      <c r="J27" s="55" t="s">
        <v>777</v>
      </c>
      <c r="K27" s="56" t="str">
        <f t="shared" si="0"/>
        <v>ROJAS  GUERRERO HILDEBRANDO</v>
      </c>
      <c r="L27" s="55" t="s">
        <v>29</v>
      </c>
      <c r="M27" s="62">
        <v>31331</v>
      </c>
      <c r="N27" s="55">
        <v>941205078</v>
      </c>
      <c r="O27" s="122" t="s">
        <v>1185</v>
      </c>
      <c r="P27" s="87" t="s">
        <v>30</v>
      </c>
      <c r="Q27" s="55" t="s">
        <v>27</v>
      </c>
      <c r="R27" s="64" t="s">
        <v>32</v>
      </c>
      <c r="S27" s="54">
        <v>20601242657</v>
      </c>
      <c r="T27" s="55" t="s">
        <v>33</v>
      </c>
      <c r="U27" s="54" t="s">
        <v>123</v>
      </c>
      <c r="V27" s="54" t="s">
        <v>285</v>
      </c>
      <c r="W27" s="55" t="s">
        <v>31</v>
      </c>
      <c r="X27" s="55" t="s">
        <v>778</v>
      </c>
      <c r="Y27" s="55" t="s">
        <v>779</v>
      </c>
      <c r="Z27" s="55" t="s">
        <v>281</v>
      </c>
      <c r="AA27" s="55" t="s">
        <v>31</v>
      </c>
      <c r="AB27" s="59" t="str">
        <f t="shared" ca="1" si="1"/>
        <v>40 AÑOS</v>
      </c>
      <c r="AC27" s="60" t="s">
        <v>111</v>
      </c>
      <c r="AD27" s="60" t="s">
        <v>27</v>
      </c>
      <c r="AE27" s="60"/>
      <c r="AF27" s="61">
        <v>45125</v>
      </c>
      <c r="AG27" s="59">
        <f t="shared" ca="1" si="2"/>
        <v>2</v>
      </c>
      <c r="AH27" s="59">
        <f t="shared" ca="1" si="3"/>
        <v>6</v>
      </c>
      <c r="AI27" s="89">
        <f t="shared" ca="1" si="4"/>
        <v>12</v>
      </c>
      <c r="AJ27" s="60"/>
      <c r="AK27" s="60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</row>
    <row r="28" spans="1:346" ht="19.5" hidden="1" x14ac:dyDescent="0.3">
      <c r="A28" s="54">
        <v>29</v>
      </c>
      <c r="B28" s="54" t="s">
        <v>27</v>
      </c>
      <c r="C28" s="54" t="s">
        <v>512</v>
      </c>
      <c r="D28" s="54" t="s">
        <v>225</v>
      </c>
      <c r="E28" s="54"/>
      <c r="F28" s="54" t="s">
        <v>28</v>
      </c>
      <c r="G28" s="55">
        <v>41068253</v>
      </c>
      <c r="H28" s="54" t="s">
        <v>72</v>
      </c>
      <c r="I28" s="54" t="s">
        <v>73</v>
      </c>
      <c r="J28" s="54" t="s">
        <v>74</v>
      </c>
      <c r="K28" s="56" t="str">
        <f t="shared" si="0"/>
        <v>SANCHEZ MOSQUEIRA WALTER</v>
      </c>
      <c r="L28" s="54" t="s">
        <v>29</v>
      </c>
      <c r="M28" s="57">
        <v>29037</v>
      </c>
      <c r="N28" s="54">
        <v>999884640</v>
      </c>
      <c r="O28" s="122" t="s">
        <v>1183</v>
      </c>
      <c r="P28" s="88" t="s">
        <v>30</v>
      </c>
      <c r="Q28" s="54" t="s">
        <v>27</v>
      </c>
      <c r="R28" s="58" t="s">
        <v>32</v>
      </c>
      <c r="S28" s="54">
        <v>20601242657</v>
      </c>
      <c r="T28" s="54" t="s">
        <v>33</v>
      </c>
      <c r="U28" s="54" t="s">
        <v>123</v>
      </c>
      <c r="V28" s="54" t="s">
        <v>285</v>
      </c>
      <c r="W28" s="54" t="s">
        <v>31</v>
      </c>
      <c r="X28" s="54" t="s">
        <v>216</v>
      </c>
      <c r="Y28" s="54" t="s">
        <v>31</v>
      </c>
      <c r="Z28" s="54" t="s">
        <v>31</v>
      </c>
      <c r="AA28" s="54" t="s">
        <v>31</v>
      </c>
      <c r="AB28" s="59" t="str">
        <f t="shared" ca="1" si="1"/>
        <v>46 AÑOS</v>
      </c>
      <c r="AC28" s="60" t="s">
        <v>111</v>
      </c>
      <c r="AD28" s="60" t="s">
        <v>27</v>
      </c>
      <c r="AE28" s="60"/>
      <c r="AF28" s="61">
        <v>44288</v>
      </c>
      <c r="AG28" s="59">
        <f t="shared" ca="1" si="2"/>
        <v>4</v>
      </c>
      <c r="AH28" s="59">
        <f t="shared" ca="1" si="3"/>
        <v>9</v>
      </c>
      <c r="AI28" s="89">
        <f t="shared" ca="1" si="4"/>
        <v>28</v>
      </c>
      <c r="AJ28" s="60"/>
      <c r="AK28" s="60"/>
    </row>
    <row r="29" spans="1:346" s="41" customFormat="1" ht="19.5" hidden="1" x14ac:dyDescent="0.3">
      <c r="A29" s="55">
        <v>212</v>
      </c>
      <c r="B29" s="55" t="s">
        <v>27</v>
      </c>
      <c r="C29" s="55" t="s">
        <v>512</v>
      </c>
      <c r="D29" s="54" t="s">
        <v>929</v>
      </c>
      <c r="E29" s="55"/>
      <c r="F29" s="55" t="s">
        <v>28</v>
      </c>
      <c r="G29" s="55">
        <v>70137236</v>
      </c>
      <c r="H29" s="55" t="s">
        <v>921</v>
      </c>
      <c r="I29" s="55" t="s">
        <v>922</v>
      </c>
      <c r="J29" s="55" t="s">
        <v>923</v>
      </c>
      <c r="K29" s="56" t="str">
        <f t="shared" si="0"/>
        <v>TISNADO ARRESTEGUI GERSON YADER</v>
      </c>
      <c r="L29" s="55" t="s">
        <v>29</v>
      </c>
      <c r="M29" s="62">
        <v>36192</v>
      </c>
      <c r="N29" s="55">
        <v>960696017</v>
      </c>
      <c r="O29" s="122" t="s">
        <v>1184</v>
      </c>
      <c r="P29" s="87" t="s">
        <v>30</v>
      </c>
      <c r="Q29" s="55" t="s">
        <v>27</v>
      </c>
      <c r="R29" s="64" t="s">
        <v>32</v>
      </c>
      <c r="S29" s="54">
        <v>20601242657</v>
      </c>
      <c r="T29" s="55" t="s">
        <v>33</v>
      </c>
      <c r="U29" s="54" t="s">
        <v>123</v>
      </c>
      <c r="V29" s="54" t="s">
        <v>935</v>
      </c>
      <c r="W29" s="55" t="s">
        <v>31</v>
      </c>
      <c r="X29" s="55" t="s">
        <v>924</v>
      </c>
      <c r="Y29" s="55" t="s">
        <v>925</v>
      </c>
      <c r="Z29" s="55" t="s">
        <v>926</v>
      </c>
      <c r="AA29" s="55" t="s">
        <v>31</v>
      </c>
      <c r="AB29" s="59" t="str">
        <f t="shared" ca="1" si="1"/>
        <v>26 AÑOS</v>
      </c>
      <c r="AC29" s="60" t="s">
        <v>34</v>
      </c>
      <c r="AD29" s="60" t="s">
        <v>27</v>
      </c>
      <c r="AE29" s="60"/>
      <c r="AF29" s="65">
        <v>45353</v>
      </c>
      <c r="AG29" s="59">
        <f t="shared" ca="1" si="2"/>
        <v>1</v>
      </c>
      <c r="AH29" s="59">
        <f t="shared" ca="1" si="3"/>
        <v>10</v>
      </c>
      <c r="AI29" s="89">
        <f t="shared" ca="1" si="4"/>
        <v>28</v>
      </c>
      <c r="AJ29" s="60"/>
      <c r="AK29" s="60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</row>
    <row r="30" spans="1:346" ht="19.5" hidden="1" x14ac:dyDescent="0.3">
      <c r="A30" s="54">
        <v>85</v>
      </c>
      <c r="B30" s="54" t="s">
        <v>27</v>
      </c>
      <c r="C30" s="54" t="s">
        <v>512</v>
      </c>
      <c r="D30" s="55" t="s">
        <v>465</v>
      </c>
      <c r="E30" s="55"/>
      <c r="F30" s="54" t="s">
        <v>28</v>
      </c>
      <c r="G30" s="79">
        <v>71713031</v>
      </c>
      <c r="H30" s="80" t="s">
        <v>449</v>
      </c>
      <c r="I30" s="80" t="s">
        <v>94</v>
      </c>
      <c r="J30" s="80" t="s">
        <v>452</v>
      </c>
      <c r="K30" s="56" t="str">
        <f t="shared" si="0"/>
        <v>ARIAS ARCE WILMER</v>
      </c>
      <c r="L30" s="54" t="s">
        <v>29</v>
      </c>
      <c r="M30" s="81">
        <v>34868</v>
      </c>
      <c r="N30" s="54">
        <v>982394253</v>
      </c>
      <c r="O30" s="122" t="s">
        <v>1161</v>
      </c>
      <c r="P30" s="88" t="s">
        <v>30</v>
      </c>
      <c r="Q30" s="54" t="s">
        <v>27</v>
      </c>
      <c r="R30" s="64" t="s">
        <v>32</v>
      </c>
      <c r="S30" s="54">
        <v>20601242657</v>
      </c>
      <c r="T30" s="54" t="s">
        <v>33</v>
      </c>
      <c r="U30" s="54" t="s">
        <v>123</v>
      </c>
      <c r="V30" s="54" t="s">
        <v>935</v>
      </c>
      <c r="W30" s="80" t="s">
        <v>111</v>
      </c>
      <c r="X30" s="54" t="s">
        <v>460</v>
      </c>
      <c r="Y30" s="80" t="s">
        <v>111</v>
      </c>
      <c r="Z30" s="82" t="s">
        <v>459</v>
      </c>
      <c r="AA30" s="82" t="s">
        <v>45</v>
      </c>
      <c r="AB30" s="59" t="str">
        <f t="shared" ca="1" si="1"/>
        <v>30 AÑOS</v>
      </c>
      <c r="AC30" s="60" t="s">
        <v>111</v>
      </c>
      <c r="AD30" s="60" t="s">
        <v>27</v>
      </c>
      <c r="AE30" s="60"/>
      <c r="AF30" s="61">
        <v>44545</v>
      </c>
      <c r="AG30" s="59">
        <f t="shared" ca="1" si="2"/>
        <v>4</v>
      </c>
      <c r="AH30" s="59">
        <f t="shared" ca="1" si="3"/>
        <v>1</v>
      </c>
      <c r="AI30" s="89">
        <f t="shared" ca="1" si="4"/>
        <v>15</v>
      </c>
      <c r="AJ30" s="60"/>
      <c r="AK30" s="60"/>
    </row>
    <row r="31" spans="1:346" s="41" customFormat="1" ht="19.5" hidden="1" x14ac:dyDescent="0.3">
      <c r="A31" s="55">
        <v>114</v>
      </c>
      <c r="B31" s="55" t="s">
        <v>27</v>
      </c>
      <c r="C31" s="55" t="s">
        <v>512</v>
      </c>
      <c r="D31" s="55" t="s">
        <v>617</v>
      </c>
      <c r="E31" s="55"/>
      <c r="F31" s="55" t="s">
        <v>28</v>
      </c>
      <c r="G31" s="55">
        <v>70210174</v>
      </c>
      <c r="H31" s="55" t="s">
        <v>578</v>
      </c>
      <c r="I31" s="55" t="s">
        <v>578</v>
      </c>
      <c r="J31" s="55" t="s">
        <v>579</v>
      </c>
      <c r="K31" s="56" t="str">
        <f t="shared" si="0"/>
        <v>ARRIBASPLATA ARRIBASPLATA YEISON ANTONI</v>
      </c>
      <c r="L31" s="55" t="s">
        <v>29</v>
      </c>
      <c r="M31" s="62">
        <v>35077</v>
      </c>
      <c r="N31" s="55">
        <v>963513817</v>
      </c>
      <c r="O31" s="122" t="s">
        <v>1165</v>
      </c>
      <c r="P31" s="87" t="s">
        <v>30</v>
      </c>
      <c r="Q31" s="55" t="s">
        <v>27</v>
      </c>
      <c r="R31" s="64" t="s">
        <v>32</v>
      </c>
      <c r="S31" s="54">
        <v>20601242657</v>
      </c>
      <c r="T31" s="55" t="s">
        <v>33</v>
      </c>
      <c r="U31" s="54" t="s">
        <v>123</v>
      </c>
      <c r="V31" s="54" t="s">
        <v>935</v>
      </c>
      <c r="W31" s="55" t="s">
        <v>31</v>
      </c>
      <c r="X31" s="54" t="s">
        <v>594</v>
      </c>
      <c r="Y31" s="55" t="s">
        <v>31</v>
      </c>
      <c r="Z31" s="55" t="s">
        <v>31</v>
      </c>
      <c r="AA31" s="55" t="s">
        <v>31</v>
      </c>
      <c r="AB31" s="59" t="str">
        <f t="shared" ca="1" si="1"/>
        <v>30 AÑOS</v>
      </c>
      <c r="AC31" s="60" t="s">
        <v>111</v>
      </c>
      <c r="AD31" s="60" t="s">
        <v>27</v>
      </c>
      <c r="AE31" s="60"/>
      <c r="AF31" s="61">
        <v>44804</v>
      </c>
      <c r="AG31" s="59">
        <f t="shared" ca="1" si="2"/>
        <v>3</v>
      </c>
      <c r="AH31" s="59">
        <f t="shared" ca="1" si="3"/>
        <v>4</v>
      </c>
      <c r="AI31" s="89">
        <f t="shared" ca="1" si="4"/>
        <v>30</v>
      </c>
      <c r="AJ31" s="60"/>
      <c r="AK31" s="60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</row>
    <row r="32" spans="1:346" s="41" customFormat="1" ht="19.5" hidden="1" x14ac:dyDescent="0.3">
      <c r="A32" s="55">
        <v>118</v>
      </c>
      <c r="B32" s="55" t="s">
        <v>27</v>
      </c>
      <c r="C32" s="55" t="s">
        <v>512</v>
      </c>
      <c r="D32" s="55" t="s">
        <v>621</v>
      </c>
      <c r="E32" s="124">
        <v>45784</v>
      </c>
      <c r="F32" s="55" t="s">
        <v>28</v>
      </c>
      <c r="G32" s="55">
        <v>41534039</v>
      </c>
      <c r="H32" s="55" t="s">
        <v>603</v>
      </c>
      <c r="I32" s="55" t="s">
        <v>604</v>
      </c>
      <c r="J32" s="55" t="s">
        <v>605</v>
      </c>
      <c r="K32" s="56" t="str">
        <f t="shared" si="0"/>
        <v>CARHUAPOMA  VARGAS OSWALDO</v>
      </c>
      <c r="L32" s="55" t="s">
        <v>29</v>
      </c>
      <c r="M32" s="62">
        <v>30181</v>
      </c>
      <c r="N32" s="55">
        <v>971173092</v>
      </c>
      <c r="O32" s="122" t="s">
        <v>1156</v>
      </c>
      <c r="P32" s="87" t="s">
        <v>30</v>
      </c>
      <c r="Q32" s="55" t="s">
        <v>27</v>
      </c>
      <c r="R32" s="64" t="s">
        <v>32</v>
      </c>
      <c r="S32" s="54">
        <v>20601242657</v>
      </c>
      <c r="T32" s="55" t="s">
        <v>33</v>
      </c>
      <c r="U32" s="54" t="s">
        <v>123</v>
      </c>
      <c r="V32" s="54" t="s">
        <v>935</v>
      </c>
      <c r="W32" s="55" t="s">
        <v>333</v>
      </c>
      <c r="X32" s="55" t="s">
        <v>622</v>
      </c>
      <c r="Y32" s="55" t="s">
        <v>522</v>
      </c>
      <c r="Z32" s="55" t="s">
        <v>521</v>
      </c>
      <c r="AA32" s="55" t="s">
        <v>333</v>
      </c>
      <c r="AB32" s="59" t="str">
        <f t="shared" ca="1" si="1"/>
        <v>43 AÑOS</v>
      </c>
      <c r="AC32" s="60" t="s">
        <v>34</v>
      </c>
      <c r="AD32" s="60" t="s">
        <v>27</v>
      </c>
      <c r="AE32" s="60"/>
      <c r="AF32" s="61">
        <v>44818</v>
      </c>
      <c r="AG32" s="59">
        <f t="shared" ca="1" si="2"/>
        <v>3</v>
      </c>
      <c r="AH32" s="59">
        <f t="shared" ca="1" si="3"/>
        <v>4</v>
      </c>
      <c r="AI32" s="89">
        <f t="shared" ca="1" si="4"/>
        <v>16</v>
      </c>
      <c r="AJ32" s="60"/>
      <c r="AK32" s="60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</row>
    <row r="33" spans="1:147" s="41" customFormat="1" ht="19.5" hidden="1" x14ac:dyDescent="0.3">
      <c r="A33" s="55">
        <v>235</v>
      </c>
      <c r="B33" s="55" t="s">
        <v>27</v>
      </c>
      <c r="C33" s="55" t="s">
        <v>512</v>
      </c>
      <c r="D33" s="54" t="s">
        <v>1095</v>
      </c>
      <c r="E33" s="55"/>
      <c r="F33" s="55" t="s">
        <v>28</v>
      </c>
      <c r="G33" s="55">
        <v>75848903</v>
      </c>
      <c r="H33" s="55" t="s">
        <v>1073</v>
      </c>
      <c r="I33" s="55" t="s">
        <v>1074</v>
      </c>
      <c r="J33" s="55" t="s">
        <v>1075</v>
      </c>
      <c r="K33" s="56" t="str">
        <f t="shared" si="0"/>
        <v>CARRILLO ZAPATA CARLOS EDUARDO</v>
      </c>
      <c r="L33" s="55" t="s">
        <v>29</v>
      </c>
      <c r="M33" s="62">
        <v>36839</v>
      </c>
      <c r="N33" s="55">
        <v>981110098</v>
      </c>
      <c r="O33" s="122" t="s">
        <v>1188</v>
      </c>
      <c r="P33" s="87" t="s">
        <v>30</v>
      </c>
      <c r="Q33" s="55" t="s">
        <v>27</v>
      </c>
      <c r="R33" s="64" t="s">
        <v>32</v>
      </c>
      <c r="S33" s="54">
        <v>20601242657</v>
      </c>
      <c r="T33" s="55" t="s">
        <v>33</v>
      </c>
      <c r="U33" s="54" t="s">
        <v>123</v>
      </c>
      <c r="V33" s="54" t="s">
        <v>935</v>
      </c>
      <c r="W33" s="55" t="s">
        <v>149</v>
      </c>
      <c r="X33" s="55" t="s">
        <v>1076</v>
      </c>
      <c r="Y33" s="55" t="s">
        <v>1008</v>
      </c>
      <c r="Z33" s="55" t="s">
        <v>1008</v>
      </c>
      <c r="AA33" s="55" t="s">
        <v>149</v>
      </c>
      <c r="AB33" s="59" t="str">
        <f t="shared" ca="1" si="1"/>
        <v>25 AÑOS</v>
      </c>
      <c r="AC33" s="60" t="s">
        <v>34</v>
      </c>
      <c r="AD33" s="60" t="s">
        <v>27</v>
      </c>
      <c r="AE33" s="60"/>
      <c r="AF33" s="61">
        <v>45687</v>
      </c>
      <c r="AG33" s="59">
        <f t="shared" ca="1" si="2"/>
        <v>1</v>
      </c>
      <c r="AH33" s="59">
        <f t="shared" ca="1" si="3"/>
        <v>0</v>
      </c>
      <c r="AI33" s="89">
        <f t="shared" ca="1" si="4"/>
        <v>0</v>
      </c>
      <c r="AJ33" s="60"/>
      <c r="AK33" s="60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</row>
    <row r="34" spans="1:147" s="41" customFormat="1" ht="19.5" hidden="1" x14ac:dyDescent="0.3">
      <c r="A34" s="55">
        <v>246</v>
      </c>
      <c r="B34" s="55" t="s">
        <v>27</v>
      </c>
      <c r="C34" s="55" t="s">
        <v>512</v>
      </c>
      <c r="D34" s="54" t="s">
        <v>1136</v>
      </c>
      <c r="E34" s="55"/>
      <c r="F34" s="55" t="s">
        <v>28</v>
      </c>
      <c r="G34" s="55">
        <v>47722881</v>
      </c>
      <c r="H34" s="55" t="s">
        <v>48</v>
      </c>
      <c r="I34" s="55" t="s">
        <v>867</v>
      </c>
      <c r="J34" s="55" t="s">
        <v>1133</v>
      </c>
      <c r="K34" s="56" t="str">
        <f t="shared" si="0"/>
        <v>CHUQUIMANGO RAMOS DIOVER YULINIO</v>
      </c>
      <c r="L34" s="55" t="s">
        <v>29</v>
      </c>
      <c r="M34" s="62">
        <v>34061</v>
      </c>
      <c r="N34" s="55">
        <v>993086901</v>
      </c>
      <c r="O34" s="122" t="s">
        <v>1192</v>
      </c>
      <c r="P34" s="87" t="s">
        <v>30</v>
      </c>
      <c r="Q34" s="55" t="s">
        <v>27</v>
      </c>
      <c r="R34" s="64" t="s">
        <v>32</v>
      </c>
      <c r="S34" s="54">
        <v>20601242657</v>
      </c>
      <c r="T34" s="55" t="s">
        <v>33</v>
      </c>
      <c r="U34" s="54" t="s">
        <v>123</v>
      </c>
      <c r="V34" s="54" t="s">
        <v>935</v>
      </c>
      <c r="W34" s="55" t="s">
        <v>31</v>
      </c>
      <c r="X34" s="55" t="s">
        <v>1132</v>
      </c>
      <c r="Y34" s="55" t="s">
        <v>672</v>
      </c>
      <c r="Z34" s="55" t="s">
        <v>31</v>
      </c>
      <c r="AA34" s="55" t="s">
        <v>31</v>
      </c>
      <c r="AB34" s="59" t="str">
        <f t="shared" ca="1" si="1"/>
        <v>32 AÑOS</v>
      </c>
      <c r="AC34" s="60" t="s">
        <v>111</v>
      </c>
      <c r="AD34" s="60" t="s">
        <v>27</v>
      </c>
      <c r="AE34" s="60"/>
      <c r="AF34" s="61">
        <v>45743</v>
      </c>
      <c r="AG34" s="59">
        <f t="shared" ca="1" si="2"/>
        <v>0</v>
      </c>
      <c r="AH34" s="59">
        <f t="shared" ca="1" si="3"/>
        <v>10</v>
      </c>
      <c r="AI34" s="89">
        <f t="shared" ca="1" si="4"/>
        <v>3</v>
      </c>
      <c r="AJ34" s="60"/>
      <c r="AK34" s="60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</row>
    <row r="35" spans="1:147" s="41" customFormat="1" ht="19.5" hidden="1" x14ac:dyDescent="0.3">
      <c r="A35" s="55">
        <v>241</v>
      </c>
      <c r="B35" s="55" t="s">
        <v>27</v>
      </c>
      <c r="C35" s="54" t="s">
        <v>512</v>
      </c>
      <c r="D35" s="54" t="s">
        <v>1108</v>
      </c>
      <c r="E35" s="124">
        <v>45784</v>
      </c>
      <c r="F35" s="54" t="s">
        <v>28</v>
      </c>
      <c r="G35" s="55">
        <v>47697810</v>
      </c>
      <c r="H35" s="55" t="s">
        <v>1103</v>
      </c>
      <c r="I35" s="55" t="s">
        <v>853</v>
      </c>
      <c r="J35" s="55" t="s">
        <v>1104</v>
      </c>
      <c r="K35" s="56" t="str">
        <f t="shared" si="0"/>
        <v>DELAO TORRES BRUNO</v>
      </c>
      <c r="L35" s="54" t="s">
        <v>29</v>
      </c>
      <c r="M35" s="62">
        <v>33263</v>
      </c>
      <c r="N35" s="55">
        <v>963544564</v>
      </c>
      <c r="O35" s="122" t="s">
        <v>1170</v>
      </c>
      <c r="P35" s="88" t="s">
        <v>30</v>
      </c>
      <c r="Q35" s="54" t="s">
        <v>27</v>
      </c>
      <c r="R35" s="64" t="s">
        <v>32</v>
      </c>
      <c r="S35" s="54">
        <v>20601242657</v>
      </c>
      <c r="T35" s="54" t="s">
        <v>33</v>
      </c>
      <c r="U35" s="54" t="s">
        <v>123</v>
      </c>
      <c r="V35" s="54" t="s">
        <v>935</v>
      </c>
      <c r="W35" s="55" t="s">
        <v>37</v>
      </c>
      <c r="X35" s="55" t="s">
        <v>1102</v>
      </c>
      <c r="Y35" s="55" t="s">
        <v>1100</v>
      </c>
      <c r="Z35" s="55" t="s">
        <v>37</v>
      </c>
      <c r="AA35" s="55" t="s">
        <v>37</v>
      </c>
      <c r="AB35" s="59" t="str">
        <f t="shared" ca="1" si="1"/>
        <v>35 AÑOS</v>
      </c>
      <c r="AC35" s="60" t="s">
        <v>34</v>
      </c>
      <c r="AD35" s="60" t="s">
        <v>27</v>
      </c>
      <c r="AE35" s="60"/>
      <c r="AF35" s="61">
        <v>45694</v>
      </c>
      <c r="AG35" s="59">
        <f t="shared" ca="1" si="2"/>
        <v>0</v>
      </c>
      <c r="AH35" s="59">
        <f t="shared" ca="1" si="3"/>
        <v>11</v>
      </c>
      <c r="AI35" s="89">
        <f t="shared" ca="1" si="4"/>
        <v>24</v>
      </c>
      <c r="AJ35" s="61"/>
      <c r="AK35" s="6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</row>
    <row r="36" spans="1:147" s="41" customFormat="1" ht="19.5" hidden="1" x14ac:dyDescent="0.3">
      <c r="A36" s="55">
        <v>221</v>
      </c>
      <c r="B36" s="55" t="s">
        <v>27</v>
      </c>
      <c r="C36" s="55" t="s">
        <v>512</v>
      </c>
      <c r="D36" s="54" t="s">
        <v>960</v>
      </c>
      <c r="E36" s="55"/>
      <c r="F36" s="55" t="s">
        <v>28</v>
      </c>
      <c r="G36" s="55">
        <v>72944466</v>
      </c>
      <c r="H36" s="55" t="s">
        <v>648</v>
      </c>
      <c r="I36" s="55" t="s">
        <v>344</v>
      </c>
      <c r="J36" s="55" t="s">
        <v>665</v>
      </c>
      <c r="K36" s="56" t="str">
        <f t="shared" si="0"/>
        <v>JARA DE LA CRUZ BENAVIDES</v>
      </c>
      <c r="L36" s="54" t="s">
        <v>29</v>
      </c>
      <c r="M36" s="62">
        <v>35829</v>
      </c>
      <c r="N36" s="55">
        <v>932298906</v>
      </c>
      <c r="O36" s="122" t="s">
        <v>1189</v>
      </c>
      <c r="P36" s="87" t="s">
        <v>30</v>
      </c>
      <c r="Q36" s="55" t="s">
        <v>27</v>
      </c>
      <c r="R36" s="64" t="s">
        <v>32</v>
      </c>
      <c r="S36" s="54">
        <v>20601242657</v>
      </c>
      <c r="T36" s="55" t="s">
        <v>33</v>
      </c>
      <c r="U36" s="54" t="s">
        <v>123</v>
      </c>
      <c r="V36" s="54" t="s">
        <v>285</v>
      </c>
      <c r="W36" s="55" t="s">
        <v>31</v>
      </c>
      <c r="X36" s="54" t="s">
        <v>955</v>
      </c>
      <c r="Y36" s="55" t="s">
        <v>31</v>
      </c>
      <c r="Z36" s="55" t="s">
        <v>31</v>
      </c>
      <c r="AA36" s="55" t="s">
        <v>31</v>
      </c>
      <c r="AB36" s="59" t="str">
        <f t="shared" ca="1" si="1"/>
        <v>27 AÑOS</v>
      </c>
      <c r="AC36" s="60" t="s">
        <v>111</v>
      </c>
      <c r="AD36" s="60" t="s">
        <v>27</v>
      </c>
      <c r="AE36" s="60"/>
      <c r="AF36" s="61">
        <v>45491</v>
      </c>
      <c r="AG36" s="59">
        <f t="shared" ca="1" si="2"/>
        <v>1</v>
      </c>
      <c r="AH36" s="59">
        <f t="shared" ca="1" si="3"/>
        <v>6</v>
      </c>
      <c r="AI36" s="89">
        <f t="shared" ca="1" si="4"/>
        <v>12</v>
      </c>
      <c r="AJ36" s="60"/>
      <c r="AK36" s="60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</row>
    <row r="37" spans="1:147" s="41" customFormat="1" ht="19.5" hidden="1" x14ac:dyDescent="0.3">
      <c r="A37" s="55">
        <v>186</v>
      </c>
      <c r="B37" s="55" t="s">
        <v>27</v>
      </c>
      <c r="C37" s="55" t="s">
        <v>512</v>
      </c>
      <c r="D37" s="55" t="s">
        <v>822</v>
      </c>
      <c r="E37" s="55"/>
      <c r="F37" s="55" t="s">
        <v>28</v>
      </c>
      <c r="G37" s="55">
        <v>74206233</v>
      </c>
      <c r="H37" s="55" t="s">
        <v>185</v>
      </c>
      <c r="I37" s="55" t="s">
        <v>813</v>
      </c>
      <c r="J37" s="55" t="s">
        <v>814</v>
      </c>
      <c r="K37" s="56" t="str">
        <f t="shared" si="0"/>
        <v>LLANOS LOPEZ  JAIME LUIS</v>
      </c>
      <c r="L37" s="55" t="s">
        <v>29</v>
      </c>
      <c r="M37" s="62">
        <v>35000</v>
      </c>
      <c r="N37" s="55">
        <v>997573190</v>
      </c>
      <c r="O37" s="122" t="s">
        <v>1186</v>
      </c>
      <c r="P37" s="87" t="s">
        <v>30</v>
      </c>
      <c r="Q37" s="55" t="s">
        <v>27</v>
      </c>
      <c r="R37" s="64" t="s">
        <v>32</v>
      </c>
      <c r="S37" s="54">
        <v>20601242657</v>
      </c>
      <c r="T37" s="55" t="s">
        <v>33</v>
      </c>
      <c r="U37" s="54" t="s">
        <v>123</v>
      </c>
      <c r="V37" s="54" t="s">
        <v>935</v>
      </c>
      <c r="W37" s="55" t="s">
        <v>31</v>
      </c>
      <c r="X37" s="54" t="s">
        <v>815</v>
      </c>
      <c r="Y37" s="55" t="s">
        <v>31</v>
      </c>
      <c r="Z37" s="55" t="s">
        <v>31</v>
      </c>
      <c r="AA37" s="55" t="s">
        <v>31</v>
      </c>
      <c r="AB37" s="59" t="str">
        <f t="shared" ca="1" si="1"/>
        <v>30 AÑOS</v>
      </c>
      <c r="AC37" s="60" t="s">
        <v>111</v>
      </c>
      <c r="AD37" s="60" t="s">
        <v>27</v>
      </c>
      <c r="AE37" s="60"/>
      <c r="AF37" s="61">
        <v>45182</v>
      </c>
      <c r="AG37" s="59">
        <f t="shared" ca="1" si="2"/>
        <v>2</v>
      </c>
      <c r="AH37" s="59">
        <f t="shared" ca="1" si="3"/>
        <v>4</v>
      </c>
      <c r="AI37" s="89">
        <f t="shared" ca="1" si="4"/>
        <v>17</v>
      </c>
      <c r="AJ37" s="60"/>
      <c r="AK37" s="60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</row>
    <row r="38" spans="1:147" s="41" customFormat="1" ht="19.5" hidden="1" x14ac:dyDescent="0.3">
      <c r="A38" s="55">
        <v>182</v>
      </c>
      <c r="B38" s="55" t="s">
        <v>27</v>
      </c>
      <c r="C38" s="55" t="s">
        <v>512</v>
      </c>
      <c r="D38" s="55" t="s">
        <v>802</v>
      </c>
      <c r="E38" s="55"/>
      <c r="F38" s="55" t="s">
        <v>28</v>
      </c>
      <c r="G38" s="55">
        <v>71758207</v>
      </c>
      <c r="H38" s="55" t="s">
        <v>79</v>
      </c>
      <c r="I38" s="55" t="s">
        <v>571</v>
      </c>
      <c r="J38" s="55" t="s">
        <v>799</v>
      </c>
      <c r="K38" s="56" t="str">
        <f t="shared" si="0"/>
        <v>LINARES RAMIREZ WILLIAM ALI</v>
      </c>
      <c r="L38" s="55" t="s">
        <v>29</v>
      </c>
      <c r="M38" s="62">
        <v>35846</v>
      </c>
      <c r="N38" s="55">
        <v>997497655</v>
      </c>
      <c r="O38" s="122" t="s">
        <v>1164</v>
      </c>
      <c r="P38" s="87" t="s">
        <v>30</v>
      </c>
      <c r="Q38" s="55" t="s">
        <v>27</v>
      </c>
      <c r="R38" s="64" t="s">
        <v>32</v>
      </c>
      <c r="S38" s="54">
        <v>20601242657</v>
      </c>
      <c r="T38" s="55" t="s">
        <v>33</v>
      </c>
      <c r="U38" s="54" t="s">
        <v>123</v>
      </c>
      <c r="V38" s="54" t="s">
        <v>935</v>
      </c>
      <c r="W38" s="55" t="s">
        <v>31</v>
      </c>
      <c r="X38" s="54" t="s">
        <v>796</v>
      </c>
      <c r="Y38" s="55" t="s">
        <v>31</v>
      </c>
      <c r="Z38" s="55" t="s">
        <v>31</v>
      </c>
      <c r="AA38" s="55" t="s">
        <v>31</v>
      </c>
      <c r="AB38" s="59" t="str">
        <f t="shared" ca="1" si="1"/>
        <v>27 AÑOS</v>
      </c>
      <c r="AC38" s="60" t="s">
        <v>111</v>
      </c>
      <c r="AD38" s="60" t="s">
        <v>27</v>
      </c>
      <c r="AE38" s="60"/>
      <c r="AF38" s="61">
        <v>45154</v>
      </c>
      <c r="AG38" s="59">
        <f t="shared" ca="1" si="2"/>
        <v>2</v>
      </c>
      <c r="AH38" s="59">
        <f t="shared" ca="1" si="3"/>
        <v>5</v>
      </c>
      <c r="AI38" s="89">
        <f t="shared" ca="1" si="4"/>
        <v>14</v>
      </c>
      <c r="AJ38" s="60"/>
      <c r="AK38" s="60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</row>
    <row r="39" spans="1:147" s="41" customFormat="1" ht="19.5" hidden="1" x14ac:dyDescent="0.3">
      <c r="A39" s="115">
        <v>201</v>
      </c>
      <c r="B39" s="55" t="s">
        <v>27</v>
      </c>
      <c r="C39" s="55" t="s">
        <v>512</v>
      </c>
      <c r="D39" s="54" t="s">
        <v>913</v>
      </c>
      <c r="E39" s="55"/>
      <c r="F39" s="55" t="s">
        <v>28</v>
      </c>
      <c r="G39" s="55">
        <v>76352395</v>
      </c>
      <c r="H39" s="55" t="s">
        <v>76</v>
      </c>
      <c r="I39" s="55" t="s">
        <v>890</v>
      </c>
      <c r="J39" s="55" t="s">
        <v>891</v>
      </c>
      <c r="K39" s="56" t="str">
        <f t="shared" si="0"/>
        <v>MIRANDA GALLARDO SEGUNDO EDUARDO</v>
      </c>
      <c r="L39" s="55" t="s">
        <v>29</v>
      </c>
      <c r="M39" s="62">
        <v>35181</v>
      </c>
      <c r="N39" s="55">
        <v>980269415</v>
      </c>
      <c r="O39" s="122" t="s">
        <v>1179</v>
      </c>
      <c r="P39" s="88" t="s">
        <v>30</v>
      </c>
      <c r="Q39" s="55" t="s">
        <v>27</v>
      </c>
      <c r="R39" s="64" t="s">
        <v>32</v>
      </c>
      <c r="S39" s="54">
        <v>20601242657</v>
      </c>
      <c r="T39" s="55" t="s">
        <v>33</v>
      </c>
      <c r="U39" s="54" t="s">
        <v>123</v>
      </c>
      <c r="V39" s="54" t="s">
        <v>935</v>
      </c>
      <c r="W39" s="55" t="s">
        <v>31</v>
      </c>
      <c r="X39" s="54" t="s">
        <v>892</v>
      </c>
      <c r="Y39" s="55" t="s">
        <v>31</v>
      </c>
      <c r="Z39" s="55" t="s">
        <v>31</v>
      </c>
      <c r="AA39" s="55" t="s">
        <v>31</v>
      </c>
      <c r="AB39" s="59" t="str">
        <f t="shared" ca="1" si="1"/>
        <v>29 AÑOS</v>
      </c>
      <c r="AC39" s="60" t="s">
        <v>111</v>
      </c>
      <c r="AD39" s="60" t="s">
        <v>27</v>
      </c>
      <c r="AE39" s="60"/>
      <c r="AF39" s="61">
        <v>45316</v>
      </c>
      <c r="AG39" s="59">
        <f t="shared" ca="1" si="2"/>
        <v>2</v>
      </c>
      <c r="AH39" s="59">
        <f t="shared" ca="1" si="3"/>
        <v>0</v>
      </c>
      <c r="AI39" s="89">
        <f t="shared" ca="1" si="4"/>
        <v>5</v>
      </c>
      <c r="AJ39" s="60"/>
      <c r="AK39" s="60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</row>
    <row r="40" spans="1:147" s="41" customFormat="1" ht="19.5" hidden="1" x14ac:dyDescent="0.3">
      <c r="A40" s="55">
        <v>191</v>
      </c>
      <c r="B40" s="55" t="s">
        <v>27</v>
      </c>
      <c r="C40" s="55" t="s">
        <v>512</v>
      </c>
      <c r="D40" s="55" t="s">
        <v>835</v>
      </c>
      <c r="E40" s="55"/>
      <c r="F40" s="55" t="s">
        <v>28</v>
      </c>
      <c r="G40" s="55">
        <v>74083999</v>
      </c>
      <c r="H40" s="55" t="s">
        <v>841</v>
      </c>
      <c r="I40" s="55" t="s">
        <v>842</v>
      </c>
      <c r="J40" s="55" t="s">
        <v>844</v>
      </c>
      <c r="K40" s="56" t="str">
        <f t="shared" si="0"/>
        <v>PISCO PINEDO JHONATAN KEVIN</v>
      </c>
      <c r="L40" s="55" t="s">
        <v>29</v>
      </c>
      <c r="M40" s="62">
        <v>36856</v>
      </c>
      <c r="N40" s="55">
        <v>965057215</v>
      </c>
      <c r="O40" s="122" t="s">
        <v>1152</v>
      </c>
      <c r="P40" s="87" t="s">
        <v>30</v>
      </c>
      <c r="Q40" s="55" t="s">
        <v>27</v>
      </c>
      <c r="R40" s="64" t="s">
        <v>32</v>
      </c>
      <c r="S40" s="54">
        <v>20601242657</v>
      </c>
      <c r="T40" s="55" t="s">
        <v>33</v>
      </c>
      <c r="U40" s="54" t="s">
        <v>123</v>
      </c>
      <c r="V40" s="54" t="s">
        <v>935</v>
      </c>
      <c r="W40" s="55" t="s">
        <v>31</v>
      </c>
      <c r="X40" s="55" t="s">
        <v>845</v>
      </c>
      <c r="Y40" s="55" t="s">
        <v>31</v>
      </c>
      <c r="Z40" s="55" t="s">
        <v>31</v>
      </c>
      <c r="AA40" s="55" t="s">
        <v>31</v>
      </c>
      <c r="AB40" s="59" t="str">
        <f t="shared" ca="1" si="1"/>
        <v>25 AÑOS</v>
      </c>
      <c r="AC40" s="60" t="s">
        <v>111</v>
      </c>
      <c r="AD40" s="60" t="s">
        <v>27</v>
      </c>
      <c r="AE40" s="60"/>
      <c r="AF40" s="61">
        <v>45210</v>
      </c>
      <c r="AG40" s="59">
        <f t="shared" ca="1" si="2"/>
        <v>2</v>
      </c>
      <c r="AH40" s="59">
        <f t="shared" ca="1" si="3"/>
        <v>3</v>
      </c>
      <c r="AI40" s="89">
        <f t="shared" ca="1" si="4"/>
        <v>19</v>
      </c>
      <c r="AJ40" s="60"/>
      <c r="AK40" s="60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</row>
    <row r="41" spans="1:147" s="41" customFormat="1" ht="19.5" hidden="1" x14ac:dyDescent="0.3">
      <c r="A41" s="55">
        <v>227</v>
      </c>
      <c r="B41" s="55" t="s">
        <v>27</v>
      </c>
      <c r="C41" s="55" t="s">
        <v>512</v>
      </c>
      <c r="D41" s="54" t="s">
        <v>999</v>
      </c>
      <c r="E41" s="55"/>
      <c r="F41" s="55" t="s">
        <v>28</v>
      </c>
      <c r="G41" s="55">
        <v>44425798</v>
      </c>
      <c r="H41" s="55" t="s">
        <v>98</v>
      </c>
      <c r="I41" s="55" t="s">
        <v>344</v>
      </c>
      <c r="J41" s="55" t="s">
        <v>445</v>
      </c>
      <c r="K41" s="56" t="str">
        <f t="shared" si="0"/>
        <v>TANTA DE LA CRUZ SANTOS</v>
      </c>
      <c r="L41" s="55" t="s">
        <v>29</v>
      </c>
      <c r="M41" s="62">
        <v>32007</v>
      </c>
      <c r="N41" s="55" t="s">
        <v>982</v>
      </c>
      <c r="O41" s="122" t="s">
        <v>1194</v>
      </c>
      <c r="P41" s="87" t="s">
        <v>30</v>
      </c>
      <c r="Q41" s="55" t="s">
        <v>27</v>
      </c>
      <c r="R41" s="64" t="s">
        <v>32</v>
      </c>
      <c r="S41" s="54">
        <v>20601242657</v>
      </c>
      <c r="T41" s="55" t="s">
        <v>33</v>
      </c>
      <c r="U41" s="54" t="s">
        <v>123</v>
      </c>
      <c r="V41" s="54" t="s">
        <v>935</v>
      </c>
      <c r="W41" s="55" t="s">
        <v>31</v>
      </c>
      <c r="X41" s="55" t="s">
        <v>723</v>
      </c>
      <c r="Y41" s="55" t="s">
        <v>693</v>
      </c>
      <c r="Z41" s="55" t="s">
        <v>31</v>
      </c>
      <c r="AA41" s="55" t="s">
        <v>31</v>
      </c>
      <c r="AB41" s="59" t="str">
        <f t="shared" ca="1" si="1"/>
        <v>38 AÑOS</v>
      </c>
      <c r="AC41" s="60" t="s">
        <v>111</v>
      </c>
      <c r="AD41" s="60" t="s">
        <v>27</v>
      </c>
      <c r="AE41" s="60"/>
      <c r="AF41" s="65">
        <v>45603</v>
      </c>
      <c r="AG41" s="59">
        <f t="shared" ca="1" si="2"/>
        <v>1</v>
      </c>
      <c r="AH41" s="59">
        <f t="shared" ca="1" si="3"/>
        <v>2</v>
      </c>
      <c r="AI41" s="89">
        <f t="shared" ca="1" si="4"/>
        <v>23</v>
      </c>
      <c r="AJ41" s="60"/>
      <c r="AK41" s="60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</row>
    <row r="42" spans="1:147" s="41" customFormat="1" ht="19.5" hidden="1" x14ac:dyDescent="0.3">
      <c r="A42" s="55">
        <v>200</v>
      </c>
      <c r="B42" s="55" t="s">
        <v>27</v>
      </c>
      <c r="C42" s="55" t="s">
        <v>512</v>
      </c>
      <c r="D42" s="55" t="s">
        <v>865</v>
      </c>
      <c r="E42" s="55"/>
      <c r="F42" s="55" t="s">
        <v>28</v>
      </c>
      <c r="G42" s="55">
        <v>45095942</v>
      </c>
      <c r="H42" s="55" t="s">
        <v>866</v>
      </c>
      <c r="I42" s="55" t="s">
        <v>867</v>
      </c>
      <c r="J42" s="55" t="s">
        <v>868</v>
      </c>
      <c r="K42" s="56" t="str">
        <f t="shared" si="0"/>
        <v>VENEGAS RAMOS ENRIQUE HERMIS</v>
      </c>
      <c r="L42" s="55" t="s">
        <v>29</v>
      </c>
      <c r="M42" s="62">
        <v>31800</v>
      </c>
      <c r="N42" s="55">
        <v>92366477</v>
      </c>
      <c r="O42" s="122" t="s">
        <v>1153</v>
      </c>
      <c r="P42" s="87" t="s">
        <v>30</v>
      </c>
      <c r="Q42" s="55" t="s">
        <v>27</v>
      </c>
      <c r="R42" s="64" t="s">
        <v>32</v>
      </c>
      <c r="S42" s="54">
        <v>20601242657</v>
      </c>
      <c r="T42" s="55" t="s">
        <v>33</v>
      </c>
      <c r="U42" s="54" t="s">
        <v>123</v>
      </c>
      <c r="V42" s="54" t="s">
        <v>935</v>
      </c>
      <c r="W42" s="55" t="s">
        <v>333</v>
      </c>
      <c r="X42" s="55" t="s">
        <v>1341</v>
      </c>
      <c r="Y42" s="55" t="s">
        <v>1340</v>
      </c>
      <c r="Z42" s="55" t="s">
        <v>521</v>
      </c>
      <c r="AA42" s="55" t="s">
        <v>333</v>
      </c>
      <c r="AB42" s="59" t="str">
        <f t="shared" ca="1" si="1"/>
        <v>39 AÑOS</v>
      </c>
      <c r="AC42" s="60" t="s">
        <v>34</v>
      </c>
      <c r="AD42" s="60" t="s">
        <v>27</v>
      </c>
      <c r="AE42" s="60"/>
      <c r="AF42" s="61">
        <v>45273</v>
      </c>
      <c r="AG42" s="59">
        <f t="shared" ca="1" si="2"/>
        <v>2</v>
      </c>
      <c r="AH42" s="59">
        <f t="shared" ca="1" si="3"/>
        <v>1</v>
      </c>
      <c r="AI42" s="89">
        <f t="shared" ca="1" si="4"/>
        <v>17</v>
      </c>
      <c r="AJ42" s="60"/>
      <c r="AK42" s="60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</row>
    <row r="43" spans="1:147" ht="19.5" hidden="1" x14ac:dyDescent="0.3">
      <c r="A43" s="55">
        <v>247</v>
      </c>
      <c r="B43" s="55" t="s">
        <v>27</v>
      </c>
      <c r="C43" s="55" t="s">
        <v>512</v>
      </c>
      <c r="D43" s="55" t="s">
        <v>1143</v>
      </c>
      <c r="E43" s="55"/>
      <c r="F43" s="55" t="s">
        <v>28</v>
      </c>
      <c r="G43" s="55">
        <v>75262313</v>
      </c>
      <c r="H43" s="55" t="s">
        <v>717</v>
      </c>
      <c r="I43" s="55" t="s">
        <v>404</v>
      </c>
      <c r="J43" s="55" t="s">
        <v>1139</v>
      </c>
      <c r="K43" s="56" t="str">
        <f t="shared" si="0"/>
        <v>MANTILLA  FERNANDEZ BRAYAN JESUS</v>
      </c>
      <c r="L43" s="55" t="s">
        <v>29</v>
      </c>
      <c r="M43" s="62">
        <v>36697</v>
      </c>
      <c r="N43" s="55">
        <v>923820806</v>
      </c>
      <c r="O43" s="122" t="s">
        <v>1195</v>
      </c>
      <c r="P43" s="87" t="s">
        <v>30</v>
      </c>
      <c r="Q43" s="55" t="s">
        <v>27</v>
      </c>
      <c r="R43" s="64" t="s">
        <v>32</v>
      </c>
      <c r="S43" s="54">
        <v>20601242657</v>
      </c>
      <c r="T43" s="55" t="s">
        <v>33</v>
      </c>
      <c r="U43" s="54" t="s">
        <v>123</v>
      </c>
      <c r="V43" s="54" t="s">
        <v>935</v>
      </c>
      <c r="W43" s="55" t="s">
        <v>876</v>
      </c>
      <c r="X43" s="55" t="s">
        <v>1142</v>
      </c>
      <c r="Y43" s="55" t="s">
        <v>1141</v>
      </c>
      <c r="Z43" s="55" t="s">
        <v>1140</v>
      </c>
      <c r="AA43" s="55" t="s">
        <v>876</v>
      </c>
      <c r="AB43" s="59" t="str">
        <f t="shared" ca="1" si="1"/>
        <v>25 AÑOS</v>
      </c>
      <c r="AC43" s="60" t="s">
        <v>34</v>
      </c>
      <c r="AD43" s="60" t="s">
        <v>27</v>
      </c>
      <c r="AE43" s="60"/>
      <c r="AF43" s="61">
        <v>45750</v>
      </c>
      <c r="AG43" s="59">
        <f t="shared" ca="1" si="2"/>
        <v>0</v>
      </c>
      <c r="AH43" s="59">
        <f t="shared" ca="1" si="3"/>
        <v>9</v>
      </c>
      <c r="AI43" s="89">
        <f t="shared" ca="1" si="4"/>
        <v>27</v>
      </c>
      <c r="AJ43" s="60"/>
      <c r="AK43" s="60"/>
    </row>
    <row r="44" spans="1:147" ht="19.5" hidden="1" x14ac:dyDescent="0.3">
      <c r="A44" s="55">
        <v>248</v>
      </c>
      <c r="B44" s="55" t="s">
        <v>27</v>
      </c>
      <c r="C44" s="55" t="s">
        <v>512</v>
      </c>
      <c r="D44" s="55" t="s">
        <v>1150</v>
      </c>
      <c r="E44" s="55"/>
      <c r="F44" s="55" t="s">
        <v>28</v>
      </c>
      <c r="G44" s="55">
        <v>43406320</v>
      </c>
      <c r="H44" s="55" t="s">
        <v>732</v>
      </c>
      <c r="I44" s="55" t="s">
        <v>807</v>
      </c>
      <c r="J44" s="55" t="s">
        <v>1145</v>
      </c>
      <c r="K44" s="56" t="str">
        <f t="shared" si="0"/>
        <v>CHAVEZ MORENO ADIR ANDERZON</v>
      </c>
      <c r="L44" s="55" t="s">
        <v>29</v>
      </c>
      <c r="M44" s="62">
        <v>31301</v>
      </c>
      <c r="N44" s="55">
        <v>997619156</v>
      </c>
      <c r="O44" s="122" t="s">
        <v>1197</v>
      </c>
      <c r="P44" s="87" t="s">
        <v>30</v>
      </c>
      <c r="Q44" s="55" t="s">
        <v>27</v>
      </c>
      <c r="R44" s="64" t="s">
        <v>32</v>
      </c>
      <c r="S44" s="54">
        <v>20601242657</v>
      </c>
      <c r="T44" s="55" t="s">
        <v>33</v>
      </c>
      <c r="U44" s="54" t="s">
        <v>123</v>
      </c>
      <c r="V44" s="54" t="s">
        <v>935</v>
      </c>
      <c r="W44" s="55" t="s">
        <v>149</v>
      </c>
      <c r="X44" s="55" t="s">
        <v>1146</v>
      </c>
      <c r="Y44" s="55" t="s">
        <v>1147</v>
      </c>
      <c r="Z44" s="55" t="s">
        <v>1148</v>
      </c>
      <c r="AA44" s="55" t="s">
        <v>149</v>
      </c>
      <c r="AB44" s="59" t="str">
        <f t="shared" ca="1" si="1"/>
        <v>40 AÑOS</v>
      </c>
      <c r="AC44" s="60" t="s">
        <v>34</v>
      </c>
      <c r="AD44" s="60" t="s">
        <v>27</v>
      </c>
      <c r="AE44" s="60"/>
      <c r="AF44" s="61">
        <v>45757</v>
      </c>
      <c r="AG44" s="59">
        <f t="shared" ca="1" si="2"/>
        <v>0</v>
      </c>
      <c r="AH44" s="59">
        <f t="shared" ca="1" si="3"/>
        <v>9</v>
      </c>
      <c r="AI44" s="89">
        <f t="shared" ca="1" si="4"/>
        <v>20</v>
      </c>
      <c r="AJ44" s="60"/>
      <c r="AK44" s="60"/>
    </row>
    <row r="45" spans="1:147" s="41" customFormat="1" ht="19.5" hidden="1" x14ac:dyDescent="0.3">
      <c r="A45" s="55">
        <v>252</v>
      </c>
      <c r="B45" s="55" t="s">
        <v>27</v>
      </c>
      <c r="C45" s="55" t="s">
        <v>512</v>
      </c>
      <c r="D45" s="55" t="s">
        <v>1212</v>
      </c>
      <c r="E45" s="55"/>
      <c r="F45" s="55" t="s">
        <v>28</v>
      </c>
      <c r="G45" s="55">
        <v>75061706</v>
      </c>
      <c r="H45" s="55" t="s">
        <v>919</v>
      </c>
      <c r="I45" s="55" t="s">
        <v>91</v>
      </c>
      <c r="J45" s="55" t="s">
        <v>1205</v>
      </c>
      <c r="K45" s="56" t="str">
        <f t="shared" si="0"/>
        <v>DUCOS INFANTE YOEL</v>
      </c>
      <c r="L45" s="55" t="s">
        <v>29</v>
      </c>
      <c r="M45" s="62">
        <v>37198</v>
      </c>
      <c r="N45" s="55">
        <v>983244796</v>
      </c>
      <c r="O45" s="122" t="s">
        <v>1206</v>
      </c>
      <c r="P45" s="87" t="s">
        <v>30</v>
      </c>
      <c r="Q45" s="55" t="s">
        <v>27</v>
      </c>
      <c r="R45" s="64" t="s">
        <v>32</v>
      </c>
      <c r="S45" s="54">
        <v>20601242657</v>
      </c>
      <c r="T45" s="55" t="s">
        <v>33</v>
      </c>
      <c r="U45" s="54" t="s">
        <v>123</v>
      </c>
      <c r="V45" s="54" t="s">
        <v>935</v>
      </c>
      <c r="W45" s="55" t="s">
        <v>31</v>
      </c>
      <c r="X45" s="55" t="s">
        <v>1207</v>
      </c>
      <c r="Y45" s="55" t="s">
        <v>31</v>
      </c>
      <c r="Z45" s="55" t="s">
        <v>31</v>
      </c>
      <c r="AA45" s="55" t="s">
        <v>31</v>
      </c>
      <c r="AB45" s="59" t="str">
        <f t="shared" ca="1" si="1"/>
        <v>24 AÑOS</v>
      </c>
      <c r="AC45" s="60" t="s">
        <v>111</v>
      </c>
      <c r="AD45" s="60" t="s">
        <v>27</v>
      </c>
      <c r="AE45" s="60"/>
      <c r="AF45" s="61">
        <v>45799</v>
      </c>
      <c r="AG45" s="59">
        <f t="shared" ca="1" si="2"/>
        <v>0</v>
      </c>
      <c r="AH45" s="59">
        <f t="shared" ca="1" si="3"/>
        <v>8</v>
      </c>
      <c r="AI45" s="89">
        <f t="shared" ca="1" si="4"/>
        <v>8</v>
      </c>
      <c r="AJ45" s="60"/>
      <c r="AK45" s="6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</row>
    <row r="46" spans="1:147" s="41" customFormat="1" ht="19.5" hidden="1" x14ac:dyDescent="0.3">
      <c r="A46" s="55">
        <v>254</v>
      </c>
      <c r="B46" s="55" t="s">
        <v>27</v>
      </c>
      <c r="C46" s="55" t="s">
        <v>512</v>
      </c>
      <c r="D46" s="55" t="s">
        <v>1214</v>
      </c>
      <c r="E46" s="55"/>
      <c r="F46" s="55" t="s">
        <v>28</v>
      </c>
      <c r="G46" s="55">
        <v>72882534</v>
      </c>
      <c r="H46" s="55" t="s">
        <v>1216</v>
      </c>
      <c r="I46" s="55" t="s">
        <v>578</v>
      </c>
      <c r="J46" s="55" t="s">
        <v>1217</v>
      </c>
      <c r="K46" s="56" t="str">
        <f t="shared" si="0"/>
        <v>VENTURA ARRIBASPLATA ROBERTO ALEXANDER</v>
      </c>
      <c r="L46" s="55" t="s">
        <v>29</v>
      </c>
      <c r="M46" s="62">
        <v>35051</v>
      </c>
      <c r="N46" s="55">
        <v>979086341</v>
      </c>
      <c r="O46" s="122" t="s">
        <v>1220</v>
      </c>
      <c r="P46" s="87" t="s">
        <v>30</v>
      </c>
      <c r="Q46" s="55" t="s">
        <v>27</v>
      </c>
      <c r="R46" s="64" t="s">
        <v>32</v>
      </c>
      <c r="S46" s="54">
        <v>20601242657</v>
      </c>
      <c r="T46" s="55" t="s">
        <v>33</v>
      </c>
      <c r="U46" s="54" t="s">
        <v>123</v>
      </c>
      <c r="V46" s="54" t="s">
        <v>935</v>
      </c>
      <c r="W46" s="55" t="s">
        <v>31</v>
      </c>
      <c r="X46" s="55" t="s">
        <v>1219</v>
      </c>
      <c r="Y46" s="55" t="s">
        <v>31</v>
      </c>
      <c r="Z46" s="55" t="s">
        <v>31</v>
      </c>
      <c r="AA46" s="55" t="s">
        <v>31</v>
      </c>
      <c r="AB46" s="59" t="str">
        <f t="shared" ca="1" si="1"/>
        <v>30 AÑOS</v>
      </c>
      <c r="AC46" s="60" t="s">
        <v>111</v>
      </c>
      <c r="AD46" s="60" t="s">
        <v>27</v>
      </c>
      <c r="AE46" s="60"/>
      <c r="AF46" s="61">
        <v>45799</v>
      </c>
      <c r="AG46" s="59">
        <f t="shared" ca="1" si="2"/>
        <v>0</v>
      </c>
      <c r="AH46" s="59">
        <f t="shared" ca="1" si="3"/>
        <v>8</v>
      </c>
      <c r="AI46" s="89">
        <f t="shared" ca="1" si="4"/>
        <v>8</v>
      </c>
      <c r="AJ46" s="60"/>
      <c r="AK46" s="6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</row>
    <row r="47" spans="1:147" s="41" customFormat="1" ht="19.5" hidden="1" x14ac:dyDescent="0.3">
      <c r="A47" s="55">
        <v>251</v>
      </c>
      <c r="B47" s="55" t="s">
        <v>27</v>
      </c>
      <c r="C47" s="55" t="s">
        <v>512</v>
      </c>
      <c r="D47" s="55" t="s">
        <v>1211</v>
      </c>
      <c r="E47" s="55"/>
      <c r="F47" s="55" t="s">
        <v>28</v>
      </c>
      <c r="G47" s="55">
        <v>47482732</v>
      </c>
      <c r="H47" s="55" t="s">
        <v>1221</v>
      </c>
      <c r="I47" s="55" t="s">
        <v>403</v>
      </c>
      <c r="J47" s="55" t="s">
        <v>416</v>
      </c>
      <c r="K47" s="56" t="str">
        <f t="shared" ref="K47:K66" si="5">CONCATENATE(H47," ",I47," ",J47)</f>
        <v>ALVARADO SANCHEZ  VICTOR ABEL</v>
      </c>
      <c r="L47" s="55" t="s">
        <v>29</v>
      </c>
      <c r="M47" s="62">
        <v>33401</v>
      </c>
      <c r="N47" s="55">
        <v>944017196</v>
      </c>
      <c r="O47" s="122" t="s">
        <v>1222</v>
      </c>
      <c r="P47" s="87" t="s">
        <v>30</v>
      </c>
      <c r="Q47" s="55" t="s">
        <v>27</v>
      </c>
      <c r="R47" s="64" t="s">
        <v>32</v>
      </c>
      <c r="S47" s="54">
        <v>20601242657</v>
      </c>
      <c r="T47" s="55" t="s">
        <v>33</v>
      </c>
      <c r="U47" s="54" t="s">
        <v>123</v>
      </c>
      <c r="V47" s="54" t="s">
        <v>109</v>
      </c>
      <c r="W47" s="55" t="s">
        <v>31</v>
      </c>
      <c r="X47" s="55" t="s">
        <v>1223</v>
      </c>
      <c r="Y47" s="55" t="s">
        <v>985</v>
      </c>
      <c r="Z47" s="55" t="s">
        <v>31</v>
      </c>
      <c r="AA47" s="55" t="s">
        <v>31</v>
      </c>
      <c r="AB47" s="59" t="str">
        <f t="shared" ref="AB47:AB80" ca="1" si="6">DATEDIF(M47,TODAY(),"y")&amp;" AÑOS"</f>
        <v>34 AÑOS</v>
      </c>
      <c r="AC47" s="60" t="s">
        <v>111</v>
      </c>
      <c r="AD47" s="60" t="s">
        <v>27</v>
      </c>
      <c r="AE47" s="60"/>
      <c r="AF47" s="61">
        <v>45799</v>
      </c>
      <c r="AG47" s="59">
        <f t="shared" ref="AG47:AG77" ca="1" si="7">DATEDIF(AF47,TODAY(),"Y")</f>
        <v>0</v>
      </c>
      <c r="AH47" s="59">
        <f t="shared" ref="AH47:AH80" ca="1" si="8">DATEDIF(AF47,TODAY(),"YM")</f>
        <v>8</v>
      </c>
      <c r="AI47" s="89">
        <f t="shared" ref="AI47:AI80" ca="1" si="9">DATEDIF(AF47,TODAY(),"MD")</f>
        <v>8</v>
      </c>
      <c r="AJ47" s="60"/>
      <c r="AK47" s="6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</row>
    <row r="48" spans="1:147" s="41" customFormat="1" ht="19.5" hidden="1" x14ac:dyDescent="0.3">
      <c r="A48" s="55">
        <v>255</v>
      </c>
      <c r="B48" s="55" t="s">
        <v>27</v>
      </c>
      <c r="C48" s="55" t="s">
        <v>512</v>
      </c>
      <c r="D48" s="55" t="s">
        <v>1215</v>
      </c>
      <c r="E48" s="55"/>
      <c r="F48" s="55" t="s">
        <v>28</v>
      </c>
      <c r="G48" s="55">
        <v>74230580</v>
      </c>
      <c r="H48" s="55" t="s">
        <v>552</v>
      </c>
      <c r="I48" s="55" t="s">
        <v>571</v>
      </c>
      <c r="J48" s="55" t="s">
        <v>678</v>
      </c>
      <c r="K48" s="56" t="str">
        <f t="shared" si="5"/>
        <v>HUAMAN  RAMIREZ JHONATAN ALEXANDER</v>
      </c>
      <c r="L48" s="55" t="s">
        <v>29</v>
      </c>
      <c r="M48" s="62">
        <v>37427</v>
      </c>
      <c r="N48" s="55">
        <v>933470962</v>
      </c>
      <c r="O48" s="122" t="s">
        <v>1224</v>
      </c>
      <c r="P48" s="87" t="s">
        <v>30</v>
      </c>
      <c r="Q48" s="55" t="s">
        <v>27</v>
      </c>
      <c r="R48" s="64" t="s">
        <v>32</v>
      </c>
      <c r="S48" s="54">
        <v>20601242657</v>
      </c>
      <c r="T48" s="55" t="s">
        <v>33</v>
      </c>
      <c r="U48" s="54" t="s">
        <v>123</v>
      </c>
      <c r="V48" s="54" t="s">
        <v>935</v>
      </c>
      <c r="W48" s="55" t="s">
        <v>31</v>
      </c>
      <c r="X48" s="55" t="s">
        <v>1225</v>
      </c>
      <c r="Y48" s="55" t="s">
        <v>293</v>
      </c>
      <c r="Z48" s="55" t="s">
        <v>31</v>
      </c>
      <c r="AA48" s="55" t="s">
        <v>31</v>
      </c>
      <c r="AB48" s="59" t="str">
        <f t="shared" ca="1" si="6"/>
        <v>23 AÑOS</v>
      </c>
      <c r="AC48" s="60" t="s">
        <v>111</v>
      </c>
      <c r="AD48" s="60" t="s">
        <v>27</v>
      </c>
      <c r="AE48" s="60"/>
      <c r="AF48" s="61">
        <v>45801</v>
      </c>
      <c r="AG48" s="59">
        <f t="shared" ca="1" si="7"/>
        <v>0</v>
      </c>
      <c r="AH48" s="59">
        <f t="shared" ca="1" si="8"/>
        <v>8</v>
      </c>
      <c r="AI48" s="89">
        <f t="shared" ca="1" si="9"/>
        <v>6</v>
      </c>
      <c r="AJ48" s="60"/>
      <c r="AK48" s="60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</row>
    <row r="49" spans="1:147" s="41" customFormat="1" ht="19.5" hidden="1" x14ac:dyDescent="0.3">
      <c r="A49" s="55">
        <v>256</v>
      </c>
      <c r="B49" s="55" t="s">
        <v>27</v>
      </c>
      <c r="C49" s="55" t="s">
        <v>512</v>
      </c>
      <c r="D49" s="55" t="s">
        <v>1231</v>
      </c>
      <c r="E49" s="55"/>
      <c r="F49" s="55" t="s">
        <v>28</v>
      </c>
      <c r="G49" s="55">
        <v>71820793</v>
      </c>
      <c r="H49" s="55" t="s">
        <v>1226</v>
      </c>
      <c r="I49" s="55" t="s">
        <v>1227</v>
      </c>
      <c r="J49" s="55" t="s">
        <v>1228</v>
      </c>
      <c r="K49" s="56" t="str">
        <f t="shared" si="5"/>
        <v xml:space="preserve">CERDAN CORO JORGE LUIS </v>
      </c>
      <c r="L49" s="55" t="s">
        <v>29</v>
      </c>
      <c r="M49" s="62">
        <v>34873</v>
      </c>
      <c r="N49" s="55">
        <v>939987078</v>
      </c>
      <c r="O49" s="122" t="s">
        <v>1229</v>
      </c>
      <c r="P49" s="87" t="s">
        <v>30</v>
      </c>
      <c r="Q49" s="55" t="s">
        <v>27</v>
      </c>
      <c r="R49" s="64" t="s">
        <v>32</v>
      </c>
      <c r="S49" s="54">
        <v>20601242657</v>
      </c>
      <c r="T49" s="55" t="s">
        <v>33</v>
      </c>
      <c r="U49" s="54" t="s">
        <v>123</v>
      </c>
      <c r="V49" s="54" t="s">
        <v>935</v>
      </c>
      <c r="W49" s="55" t="s">
        <v>45</v>
      </c>
      <c r="X49" s="55" t="s">
        <v>1230</v>
      </c>
      <c r="Y49" s="55" t="s">
        <v>320</v>
      </c>
      <c r="Z49" s="55" t="s">
        <v>320</v>
      </c>
      <c r="AA49" s="55" t="s">
        <v>45</v>
      </c>
      <c r="AB49" s="59" t="str">
        <f t="shared" ca="1" si="6"/>
        <v>30 AÑOS</v>
      </c>
      <c r="AC49" s="60" t="s">
        <v>34</v>
      </c>
      <c r="AD49" s="60" t="s">
        <v>27</v>
      </c>
      <c r="AE49" s="60"/>
      <c r="AF49" s="61">
        <v>45828</v>
      </c>
      <c r="AG49" s="59">
        <f t="shared" ca="1" si="7"/>
        <v>0</v>
      </c>
      <c r="AH49" s="59">
        <f t="shared" ca="1" si="8"/>
        <v>7</v>
      </c>
      <c r="AI49" s="89">
        <f t="shared" ca="1" si="9"/>
        <v>10</v>
      </c>
      <c r="AJ49" s="60"/>
      <c r="AK49" s="60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</row>
    <row r="50" spans="1:147" s="41" customFormat="1" ht="21" hidden="1" x14ac:dyDescent="0.35">
      <c r="A50" s="55">
        <v>257</v>
      </c>
      <c r="B50" s="55" t="s">
        <v>27</v>
      </c>
      <c r="C50" s="55" t="s">
        <v>512</v>
      </c>
      <c r="D50" s="55" t="s">
        <v>1234</v>
      </c>
      <c r="E50" s="55"/>
      <c r="F50" s="55" t="s">
        <v>28</v>
      </c>
      <c r="G50" s="55">
        <v>71738277</v>
      </c>
      <c r="H50" s="55" t="s">
        <v>1226</v>
      </c>
      <c r="I50" s="55" t="s">
        <v>1227</v>
      </c>
      <c r="J50" s="55" t="s">
        <v>1236</v>
      </c>
      <c r="K50" s="56" t="str">
        <f t="shared" si="5"/>
        <v>CERDAN CORO EDINSON YAIR</v>
      </c>
      <c r="L50" s="55" t="s">
        <v>29</v>
      </c>
      <c r="M50" s="62">
        <v>35868</v>
      </c>
      <c r="N50" s="55">
        <v>939987078</v>
      </c>
      <c r="O50" s="125" t="s">
        <v>1232</v>
      </c>
      <c r="P50" s="87" t="s">
        <v>30</v>
      </c>
      <c r="Q50" s="55" t="s">
        <v>27</v>
      </c>
      <c r="R50" s="64" t="s">
        <v>32</v>
      </c>
      <c r="S50" s="54">
        <v>20601242657</v>
      </c>
      <c r="T50" s="55" t="s">
        <v>33</v>
      </c>
      <c r="U50" s="54" t="s">
        <v>123</v>
      </c>
      <c r="V50" s="54" t="s">
        <v>935</v>
      </c>
      <c r="W50" s="55" t="s">
        <v>45</v>
      </c>
      <c r="X50" s="55" t="s">
        <v>1230</v>
      </c>
      <c r="Y50" s="55" t="s">
        <v>320</v>
      </c>
      <c r="Z50" s="55" t="s">
        <v>320</v>
      </c>
      <c r="AA50" s="55" t="s">
        <v>45</v>
      </c>
      <c r="AB50" s="59" t="str">
        <f t="shared" ca="1" si="6"/>
        <v>27 AÑOS</v>
      </c>
      <c r="AC50" s="60" t="s">
        <v>34</v>
      </c>
      <c r="AD50" s="60" t="s">
        <v>27</v>
      </c>
      <c r="AE50" s="60"/>
      <c r="AF50" s="61">
        <v>45855</v>
      </c>
      <c r="AG50" s="59">
        <f t="shared" ca="1" si="7"/>
        <v>0</v>
      </c>
      <c r="AH50" s="59">
        <f t="shared" ca="1" si="8"/>
        <v>6</v>
      </c>
      <c r="AI50" s="89">
        <f t="shared" ca="1" si="9"/>
        <v>13</v>
      </c>
      <c r="AJ50" s="60"/>
      <c r="AK50" s="60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</row>
    <row r="51" spans="1:147" s="41" customFormat="1" ht="18.75" hidden="1" x14ac:dyDescent="0.3">
      <c r="A51" s="55">
        <v>258</v>
      </c>
      <c r="B51" s="55" t="s">
        <v>27</v>
      </c>
      <c r="C51" s="55" t="s">
        <v>512</v>
      </c>
      <c r="D51" s="55" t="s">
        <v>1235</v>
      </c>
      <c r="E51" s="55"/>
      <c r="F51" s="55" t="s">
        <v>28</v>
      </c>
      <c r="G51" s="55">
        <v>79994041</v>
      </c>
      <c r="H51" s="55" t="s">
        <v>135</v>
      </c>
      <c r="I51" s="55" t="s">
        <v>94</v>
      </c>
      <c r="J51" s="55" t="s">
        <v>689</v>
      </c>
      <c r="K51" s="56" t="str">
        <f t="shared" si="5"/>
        <v>BARDALES ARCE HERMAN MILER</v>
      </c>
      <c r="L51" s="55" t="s">
        <v>29</v>
      </c>
      <c r="M51" s="62">
        <v>35962</v>
      </c>
      <c r="N51" s="55">
        <v>942346607</v>
      </c>
      <c r="O51" s="128" t="s">
        <v>1244</v>
      </c>
      <c r="P51" s="87" t="s">
        <v>30</v>
      </c>
      <c r="Q51" s="55" t="s">
        <v>27</v>
      </c>
      <c r="R51" s="64" t="s">
        <v>32</v>
      </c>
      <c r="S51" s="54">
        <v>20601242657</v>
      </c>
      <c r="T51" s="55" t="s">
        <v>33</v>
      </c>
      <c r="U51" s="54" t="s">
        <v>123</v>
      </c>
      <c r="V51" s="54" t="s">
        <v>935</v>
      </c>
      <c r="W51" s="55" t="s">
        <v>31</v>
      </c>
      <c r="X51" s="55" t="s">
        <v>692</v>
      </c>
      <c r="Y51" s="55" t="s">
        <v>509</v>
      </c>
      <c r="Z51" s="55" t="s">
        <v>31</v>
      </c>
      <c r="AA51" s="55" t="s">
        <v>31</v>
      </c>
      <c r="AB51" s="59" t="str">
        <f t="shared" ca="1" si="6"/>
        <v>27 AÑOS</v>
      </c>
      <c r="AC51" s="60" t="s">
        <v>111</v>
      </c>
      <c r="AD51" s="60" t="s">
        <v>27</v>
      </c>
      <c r="AE51" s="60"/>
      <c r="AF51" s="61">
        <v>45862</v>
      </c>
      <c r="AG51" s="59">
        <f t="shared" ca="1" si="7"/>
        <v>0</v>
      </c>
      <c r="AH51" s="59">
        <f t="shared" ca="1" si="8"/>
        <v>6</v>
      </c>
      <c r="AI51" s="89">
        <f t="shared" ca="1" si="9"/>
        <v>6</v>
      </c>
      <c r="AJ51" s="60"/>
      <c r="AK51" s="60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</row>
    <row r="52" spans="1:147" s="41" customFormat="1" ht="18.75" hidden="1" x14ac:dyDescent="0.3">
      <c r="A52" s="55">
        <v>258</v>
      </c>
      <c r="B52" s="55" t="s">
        <v>27</v>
      </c>
      <c r="C52" s="55" t="s">
        <v>512</v>
      </c>
      <c r="D52" s="55" t="s">
        <v>1237</v>
      </c>
      <c r="E52" s="55"/>
      <c r="F52" s="55" t="s">
        <v>28</v>
      </c>
      <c r="G52" s="55">
        <v>45869085</v>
      </c>
      <c r="H52" s="55" t="s">
        <v>60</v>
      </c>
      <c r="I52" s="55" t="s">
        <v>1240</v>
      </c>
      <c r="J52" s="55" t="s">
        <v>964</v>
      </c>
      <c r="K52" s="56" t="str">
        <f t="shared" si="5"/>
        <v>MENDOZA JIMENEZ  RONAL</v>
      </c>
      <c r="L52" s="55" t="s">
        <v>29</v>
      </c>
      <c r="M52" s="62">
        <v>32616</v>
      </c>
      <c r="N52" s="55">
        <v>961581008</v>
      </c>
      <c r="O52" s="128" t="s">
        <v>1242</v>
      </c>
      <c r="P52" s="87" t="s">
        <v>30</v>
      </c>
      <c r="Q52" s="55" t="s">
        <v>27</v>
      </c>
      <c r="R52" s="64" t="s">
        <v>32</v>
      </c>
      <c r="S52" s="54">
        <v>20601242657</v>
      </c>
      <c r="T52" s="55" t="s">
        <v>33</v>
      </c>
      <c r="U52" s="54" t="s">
        <v>123</v>
      </c>
      <c r="V52" s="54" t="s">
        <v>935</v>
      </c>
      <c r="W52" s="55" t="s">
        <v>31</v>
      </c>
      <c r="X52" s="55" t="s">
        <v>1243</v>
      </c>
      <c r="Y52" s="55" t="s">
        <v>976</v>
      </c>
      <c r="Z52" s="55" t="s">
        <v>654</v>
      </c>
      <c r="AA52" s="55" t="s">
        <v>31</v>
      </c>
      <c r="AB52" s="59" t="str">
        <f t="shared" ca="1" si="6"/>
        <v>36 AÑOS</v>
      </c>
      <c r="AC52" s="60" t="s">
        <v>111</v>
      </c>
      <c r="AD52" s="60" t="s">
        <v>27</v>
      </c>
      <c r="AE52" s="60"/>
      <c r="AF52" s="61">
        <v>45897</v>
      </c>
      <c r="AG52" s="59">
        <f t="shared" ca="1" si="7"/>
        <v>0</v>
      </c>
      <c r="AH52" s="59">
        <f t="shared" ca="1" si="8"/>
        <v>5</v>
      </c>
      <c r="AI52" s="89">
        <f t="shared" ca="1" si="9"/>
        <v>2</v>
      </c>
      <c r="AJ52" s="60"/>
      <c r="AK52" s="60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</row>
    <row r="53" spans="1:147" s="41" customFormat="1" ht="18.75" hidden="1" x14ac:dyDescent="0.3">
      <c r="A53" s="55">
        <v>258</v>
      </c>
      <c r="B53" s="55" t="s">
        <v>27</v>
      </c>
      <c r="C53" s="55" t="s">
        <v>512</v>
      </c>
      <c r="D53" s="55" t="s">
        <v>1238</v>
      </c>
      <c r="E53" s="55"/>
      <c r="F53" s="55" t="s">
        <v>28</v>
      </c>
      <c r="G53" s="55">
        <v>71201370</v>
      </c>
      <c r="H53" s="55" t="s">
        <v>1241</v>
      </c>
      <c r="I53" s="55" t="s">
        <v>1221</v>
      </c>
      <c r="J53" s="55" t="s">
        <v>1272</v>
      </c>
      <c r="K53" s="56" t="str">
        <f t="shared" si="5"/>
        <v>GONZALES  ALVARADO WILMAN PABLO</v>
      </c>
      <c r="L53" s="55" t="s">
        <v>29</v>
      </c>
      <c r="M53" s="62">
        <v>33883</v>
      </c>
      <c r="N53" s="55">
        <v>940759180</v>
      </c>
      <c r="O53" s="128" t="s">
        <v>1245</v>
      </c>
      <c r="P53" s="87" t="s">
        <v>30</v>
      </c>
      <c r="Q53" s="55" t="s">
        <v>27</v>
      </c>
      <c r="R53" s="64" t="s">
        <v>32</v>
      </c>
      <c r="S53" s="54">
        <v>20601242657</v>
      </c>
      <c r="T53" s="55" t="s">
        <v>33</v>
      </c>
      <c r="U53" s="54" t="s">
        <v>123</v>
      </c>
      <c r="V53" s="54" t="s">
        <v>935</v>
      </c>
      <c r="W53" s="55" t="s">
        <v>31</v>
      </c>
      <c r="X53" s="55" t="s">
        <v>1233</v>
      </c>
      <c r="Y53" s="55" t="s">
        <v>985</v>
      </c>
      <c r="Z53" s="55" t="s">
        <v>31</v>
      </c>
      <c r="AA53" s="55" t="s">
        <v>31</v>
      </c>
      <c r="AB53" s="59" t="str">
        <f t="shared" ca="1" si="6"/>
        <v>33 AÑOS</v>
      </c>
      <c r="AC53" s="60" t="s">
        <v>111</v>
      </c>
      <c r="AD53" s="60" t="s">
        <v>27</v>
      </c>
      <c r="AE53" s="60"/>
      <c r="AF53" s="61">
        <v>45904</v>
      </c>
      <c r="AG53" s="59">
        <f t="shared" ca="1" si="7"/>
        <v>0</v>
      </c>
      <c r="AH53" s="59">
        <f t="shared" ca="1" si="8"/>
        <v>4</v>
      </c>
      <c r="AI53" s="89">
        <f t="shared" ca="1" si="9"/>
        <v>26</v>
      </c>
      <c r="AJ53" s="60"/>
      <c r="AK53" s="60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</row>
    <row r="54" spans="1:147" ht="19.5" hidden="1" x14ac:dyDescent="0.3">
      <c r="A54" s="55">
        <v>260</v>
      </c>
      <c r="B54" s="55" t="s">
        <v>27</v>
      </c>
      <c r="C54" s="55" t="s">
        <v>512</v>
      </c>
      <c r="D54" s="55" t="s">
        <v>1248</v>
      </c>
      <c r="E54" s="55"/>
      <c r="F54" s="55" t="s">
        <v>28</v>
      </c>
      <c r="G54" s="55">
        <v>47656213</v>
      </c>
      <c r="H54" s="55" t="s">
        <v>1269</v>
      </c>
      <c r="I54" s="55" t="s">
        <v>1270</v>
      </c>
      <c r="J54" s="55" t="s">
        <v>1271</v>
      </c>
      <c r="K54" s="56" t="str">
        <f t="shared" si="5"/>
        <v>LLARO TORIBIO CARLOS ALFREDO</v>
      </c>
      <c r="L54" s="55" t="s">
        <v>29</v>
      </c>
      <c r="M54" s="62">
        <v>33628</v>
      </c>
      <c r="N54" s="55">
        <v>958664280</v>
      </c>
      <c r="O54" s="122" t="s">
        <v>1253</v>
      </c>
      <c r="P54" s="87" t="s">
        <v>30</v>
      </c>
      <c r="Q54" s="55" t="s">
        <v>27</v>
      </c>
      <c r="R54" s="64" t="s">
        <v>32</v>
      </c>
      <c r="S54" s="54">
        <v>20601242657</v>
      </c>
      <c r="T54" s="55" t="s">
        <v>33</v>
      </c>
      <c r="U54" s="54" t="s">
        <v>123</v>
      </c>
      <c r="V54" s="54" t="s">
        <v>935</v>
      </c>
      <c r="W54" s="55" t="s">
        <v>31</v>
      </c>
      <c r="X54" s="55" t="s">
        <v>1233</v>
      </c>
      <c r="Y54" s="55" t="s">
        <v>1252</v>
      </c>
      <c r="Z54" s="55" t="s">
        <v>34</v>
      </c>
      <c r="AA54" s="55" t="s">
        <v>45</v>
      </c>
      <c r="AB54" s="59" t="str">
        <f t="shared" ca="1" si="6"/>
        <v>34 AÑOS</v>
      </c>
      <c r="AC54" s="60" t="s">
        <v>111</v>
      </c>
      <c r="AD54" s="60" t="s">
        <v>27</v>
      </c>
      <c r="AE54" s="60"/>
      <c r="AF54" s="61">
        <v>45918</v>
      </c>
      <c r="AG54" s="59">
        <f t="shared" ca="1" si="7"/>
        <v>0</v>
      </c>
      <c r="AH54" s="59">
        <f t="shared" ca="1" si="8"/>
        <v>4</v>
      </c>
      <c r="AI54" s="89">
        <f t="shared" ca="1" si="9"/>
        <v>12</v>
      </c>
      <c r="AJ54" s="60"/>
      <c r="AK54" s="60"/>
    </row>
    <row r="55" spans="1:147" ht="19.5" hidden="1" x14ac:dyDescent="0.3">
      <c r="A55" s="55">
        <v>261</v>
      </c>
      <c r="B55" s="55" t="s">
        <v>27</v>
      </c>
      <c r="C55" s="55" t="s">
        <v>512</v>
      </c>
      <c r="D55" s="55" t="s">
        <v>1254</v>
      </c>
      <c r="E55" s="55"/>
      <c r="F55" s="55" t="s">
        <v>28</v>
      </c>
      <c r="G55" s="55">
        <v>47055844</v>
      </c>
      <c r="H55" s="55" t="s">
        <v>1259</v>
      </c>
      <c r="I55" s="55" t="s">
        <v>1260</v>
      </c>
      <c r="J55" s="55" t="s">
        <v>1261</v>
      </c>
      <c r="K55" s="56" t="str">
        <f t="shared" si="5"/>
        <v>LOZANO MARIN ALIS FRANKLIN</v>
      </c>
      <c r="L55" s="55" t="s">
        <v>29</v>
      </c>
      <c r="M55" s="62">
        <v>33383</v>
      </c>
      <c r="N55" s="55">
        <v>976157035</v>
      </c>
      <c r="O55" s="132" t="s">
        <v>1257</v>
      </c>
      <c r="P55" s="87" t="s">
        <v>30</v>
      </c>
      <c r="Q55" s="55" t="s">
        <v>27</v>
      </c>
      <c r="R55" s="64" t="s">
        <v>32</v>
      </c>
      <c r="S55" s="54">
        <v>20601242657</v>
      </c>
      <c r="T55" s="55" t="s">
        <v>33</v>
      </c>
      <c r="U55" s="54" t="s">
        <v>123</v>
      </c>
      <c r="V55" s="54" t="s">
        <v>935</v>
      </c>
      <c r="W55" s="55" t="s">
        <v>31</v>
      </c>
      <c r="X55" s="55" t="s">
        <v>1375</v>
      </c>
      <c r="Y55" s="55" t="s">
        <v>300</v>
      </c>
      <c r="Z55" s="55" t="s">
        <v>301</v>
      </c>
      <c r="AA55" s="55" t="s">
        <v>31</v>
      </c>
      <c r="AB55" s="59" t="str">
        <f t="shared" ca="1" si="6"/>
        <v>34 AÑOS</v>
      </c>
      <c r="AC55" s="60" t="s">
        <v>111</v>
      </c>
      <c r="AD55" s="60" t="s">
        <v>27</v>
      </c>
      <c r="AE55" s="60"/>
      <c r="AF55" s="61">
        <v>45925</v>
      </c>
      <c r="AG55" s="59">
        <f t="shared" ca="1" si="7"/>
        <v>0</v>
      </c>
      <c r="AH55" s="59">
        <f t="shared" ca="1" si="8"/>
        <v>4</v>
      </c>
      <c r="AI55" s="89">
        <f t="shared" ca="1" si="9"/>
        <v>5</v>
      </c>
      <c r="AJ55" s="60"/>
      <c r="AK55" s="60"/>
    </row>
    <row r="56" spans="1:147" ht="19.5" hidden="1" x14ac:dyDescent="0.3">
      <c r="A56" s="55">
        <v>262</v>
      </c>
      <c r="B56" s="55" t="s">
        <v>27</v>
      </c>
      <c r="C56" s="55" t="s">
        <v>512</v>
      </c>
      <c r="D56" s="55" t="s">
        <v>1255</v>
      </c>
      <c r="E56" s="55"/>
      <c r="F56" s="55" t="s">
        <v>28</v>
      </c>
      <c r="G56" s="55">
        <v>75089691</v>
      </c>
      <c r="H56" s="55" t="s">
        <v>72</v>
      </c>
      <c r="I56" s="55" t="s">
        <v>1262</v>
      </c>
      <c r="J56" s="55" t="s">
        <v>1263</v>
      </c>
      <c r="K56" s="56" t="str">
        <f t="shared" si="5"/>
        <v>SANCHEZ CHAVARREA SEGUNDO DAVID</v>
      </c>
      <c r="L56" s="55" t="s">
        <v>29</v>
      </c>
      <c r="M56" s="62">
        <v>35136</v>
      </c>
      <c r="N56" s="55">
        <v>902307126</v>
      </c>
      <c r="O56" s="122" t="s">
        <v>1256</v>
      </c>
      <c r="P56" s="87" t="s">
        <v>30</v>
      </c>
      <c r="Q56" s="55" t="s">
        <v>27</v>
      </c>
      <c r="R56" s="64" t="s">
        <v>32</v>
      </c>
      <c r="S56" s="54">
        <v>20601242657</v>
      </c>
      <c r="T56" s="55" t="s">
        <v>33</v>
      </c>
      <c r="U56" s="54" t="s">
        <v>123</v>
      </c>
      <c r="V56" s="54" t="s">
        <v>935</v>
      </c>
      <c r="W56" s="55" t="s">
        <v>45</v>
      </c>
      <c r="X56" s="55" t="s">
        <v>1376</v>
      </c>
      <c r="Y56" s="55" t="s">
        <v>458</v>
      </c>
      <c r="Z56" s="55" t="s">
        <v>458</v>
      </c>
      <c r="AA56" s="55" t="s">
        <v>45</v>
      </c>
      <c r="AB56" s="59" t="str">
        <f t="shared" ca="1" si="6"/>
        <v>29 AÑOS</v>
      </c>
      <c r="AC56" s="60" t="s">
        <v>111</v>
      </c>
      <c r="AD56" s="60" t="s">
        <v>27</v>
      </c>
      <c r="AE56" s="60"/>
      <c r="AF56" s="61">
        <v>45925</v>
      </c>
      <c r="AG56" s="59">
        <f t="shared" ca="1" si="7"/>
        <v>0</v>
      </c>
      <c r="AH56" s="59">
        <f t="shared" ca="1" si="8"/>
        <v>4</v>
      </c>
      <c r="AI56" s="89">
        <f t="shared" ca="1" si="9"/>
        <v>5</v>
      </c>
      <c r="AJ56" s="60"/>
      <c r="AK56" s="60"/>
    </row>
    <row r="57" spans="1:147" ht="19.5" hidden="1" x14ac:dyDescent="0.3">
      <c r="A57" s="55">
        <v>264</v>
      </c>
      <c r="B57" s="55" t="s">
        <v>27</v>
      </c>
      <c r="C57" s="55" t="s">
        <v>512</v>
      </c>
      <c r="D57" s="55" t="s">
        <v>1273</v>
      </c>
      <c r="E57" s="55"/>
      <c r="F57" s="55" t="s">
        <v>28</v>
      </c>
      <c r="G57" s="55">
        <v>47988649</v>
      </c>
      <c r="H57" s="55" t="s">
        <v>1287</v>
      </c>
      <c r="I57" s="55" t="s">
        <v>1288</v>
      </c>
      <c r="J57" s="55" t="s">
        <v>1289</v>
      </c>
      <c r="K57" s="56" t="str">
        <f t="shared" si="5"/>
        <v>MENA QUILICHE ABRAHAM</v>
      </c>
      <c r="L57" s="55" t="s">
        <v>29</v>
      </c>
      <c r="M57" s="62">
        <v>34250</v>
      </c>
      <c r="N57" s="55">
        <v>901621652</v>
      </c>
      <c r="O57" s="122" t="s">
        <v>1290</v>
      </c>
      <c r="P57" s="87" t="s">
        <v>30</v>
      </c>
      <c r="Q57" s="55" t="s">
        <v>27</v>
      </c>
      <c r="R57" s="64" t="s">
        <v>32</v>
      </c>
      <c r="S57" s="54">
        <v>20601242657</v>
      </c>
      <c r="T57" s="55" t="s">
        <v>33</v>
      </c>
      <c r="U57" s="54" t="s">
        <v>123</v>
      </c>
      <c r="V57" s="54" t="s">
        <v>935</v>
      </c>
      <c r="W57" s="55" t="str">
        <f>AA57</f>
        <v>CAJAMARCA</v>
      </c>
      <c r="X57" s="55" t="s">
        <v>1378</v>
      </c>
      <c r="Y57" s="55" t="s">
        <v>1015</v>
      </c>
      <c r="Z57" s="55" t="s">
        <v>1014</v>
      </c>
      <c r="AA57" s="55" t="s">
        <v>31</v>
      </c>
      <c r="AB57" s="59" t="str">
        <f t="shared" ca="1" si="6"/>
        <v>32 AÑOS</v>
      </c>
      <c r="AC57" s="60" t="s">
        <v>111</v>
      </c>
      <c r="AD57" s="60" t="s">
        <v>27</v>
      </c>
      <c r="AE57" s="60"/>
      <c r="AF57" s="61">
        <v>45946</v>
      </c>
      <c r="AG57" s="59">
        <f t="shared" ca="1" si="7"/>
        <v>0</v>
      </c>
      <c r="AH57" s="59">
        <f t="shared" ca="1" si="8"/>
        <v>3</v>
      </c>
      <c r="AI57" s="89">
        <f t="shared" ca="1" si="9"/>
        <v>14</v>
      </c>
      <c r="AJ57" s="60"/>
      <c r="AK57" s="60"/>
    </row>
    <row r="58" spans="1:147" ht="19.5" hidden="1" x14ac:dyDescent="0.3">
      <c r="A58" s="55">
        <v>267</v>
      </c>
      <c r="B58" s="55" t="s">
        <v>27</v>
      </c>
      <c r="C58" s="55" t="s">
        <v>512</v>
      </c>
      <c r="D58" s="55" t="s">
        <v>1286</v>
      </c>
      <c r="E58" s="55"/>
      <c r="F58" s="55" t="s">
        <v>28</v>
      </c>
      <c r="G58" s="55">
        <v>70671905</v>
      </c>
      <c r="H58" s="55" t="s">
        <v>1301</v>
      </c>
      <c r="I58" s="55" t="s">
        <v>911</v>
      </c>
      <c r="J58" s="55" t="s">
        <v>132</v>
      </c>
      <c r="K58" s="56" t="str">
        <f t="shared" si="5"/>
        <v>LÓPEZ  VASQUEZ EDGAR</v>
      </c>
      <c r="L58" s="55" t="s">
        <v>29</v>
      </c>
      <c r="M58" s="62">
        <v>36713</v>
      </c>
      <c r="N58" s="55">
        <v>965260549</v>
      </c>
      <c r="O58" s="132" t="s">
        <v>1303</v>
      </c>
      <c r="P58" s="87" t="s">
        <v>30</v>
      </c>
      <c r="Q58" s="55" t="s">
        <v>27</v>
      </c>
      <c r="R58" s="64" t="s">
        <v>32</v>
      </c>
      <c r="S58" s="54">
        <v>20601242657</v>
      </c>
      <c r="T58" s="55" t="s">
        <v>33</v>
      </c>
      <c r="U58" s="54" t="s">
        <v>123</v>
      </c>
      <c r="V58" s="54" t="s">
        <v>935</v>
      </c>
      <c r="W58" s="55" t="str">
        <f>AA58</f>
        <v>LA LIBERTAD</v>
      </c>
      <c r="X58" s="55" t="s">
        <v>1381</v>
      </c>
      <c r="Y58" s="55" t="s">
        <v>1302</v>
      </c>
      <c r="Z58" s="55" t="s">
        <v>459</v>
      </c>
      <c r="AA58" s="55" t="s">
        <v>45</v>
      </c>
      <c r="AB58" s="59" t="str">
        <f t="shared" ca="1" si="6"/>
        <v>25 AÑOS</v>
      </c>
      <c r="AC58" s="60" t="s">
        <v>111</v>
      </c>
      <c r="AD58" s="60" t="s">
        <v>27</v>
      </c>
      <c r="AE58" s="60"/>
      <c r="AF58" s="61">
        <v>45948</v>
      </c>
      <c r="AG58" s="59">
        <f t="shared" ca="1" si="7"/>
        <v>0</v>
      </c>
      <c r="AH58" s="59">
        <f t="shared" ca="1" si="8"/>
        <v>3</v>
      </c>
      <c r="AI58" s="89">
        <f t="shared" ca="1" si="9"/>
        <v>12</v>
      </c>
      <c r="AJ58" s="60"/>
      <c r="AK58" s="60"/>
    </row>
    <row r="59" spans="1:147" ht="19.5" hidden="1" x14ac:dyDescent="0.3">
      <c r="A59" s="55">
        <v>270</v>
      </c>
      <c r="B59" s="55" t="s">
        <v>27</v>
      </c>
      <c r="C59" s="55" t="s">
        <v>512</v>
      </c>
      <c r="D59" s="55" t="s">
        <v>1304</v>
      </c>
      <c r="E59" s="55"/>
      <c r="F59" s="55" t="s">
        <v>28</v>
      </c>
      <c r="G59" s="55">
        <v>71403297</v>
      </c>
      <c r="H59" s="55" t="s">
        <v>70</v>
      </c>
      <c r="I59" s="55" t="s">
        <v>1276</v>
      </c>
      <c r="J59" s="55" t="s">
        <v>1277</v>
      </c>
      <c r="K59" s="56" t="str">
        <f t="shared" si="5"/>
        <v>FLORES CARMONA CRISTIAN JHOEL</v>
      </c>
      <c r="L59" s="55" t="s">
        <v>29</v>
      </c>
      <c r="M59" s="62">
        <v>35690</v>
      </c>
      <c r="N59" s="55">
        <v>917110810</v>
      </c>
      <c r="O59" s="132" t="s">
        <v>1278</v>
      </c>
      <c r="P59" s="87" t="s">
        <v>30</v>
      </c>
      <c r="Q59" s="55" t="s">
        <v>27</v>
      </c>
      <c r="R59" s="64" t="s">
        <v>32</v>
      </c>
      <c r="S59" s="54">
        <v>20601242657</v>
      </c>
      <c r="T59" s="55" t="s">
        <v>33</v>
      </c>
      <c r="U59" s="54" t="s">
        <v>123</v>
      </c>
      <c r="V59" s="54" t="s">
        <v>935</v>
      </c>
      <c r="W59" s="55" t="str">
        <f>AA59</f>
        <v>CAJAMARCA</v>
      </c>
      <c r="X59" s="55" t="s">
        <v>1316</v>
      </c>
      <c r="Y59" s="55" t="s">
        <v>31</v>
      </c>
      <c r="Z59" s="55" t="s">
        <v>31</v>
      </c>
      <c r="AA59" s="55" t="s">
        <v>31</v>
      </c>
      <c r="AB59" s="59" t="str">
        <f t="shared" ca="1" si="6"/>
        <v>28 AÑOS</v>
      </c>
      <c r="AC59" s="60" t="s">
        <v>111</v>
      </c>
      <c r="AD59" s="60" t="s">
        <v>27</v>
      </c>
      <c r="AE59" s="60"/>
      <c r="AF59" s="61">
        <v>45955</v>
      </c>
      <c r="AG59" s="59">
        <f t="shared" ca="1" si="7"/>
        <v>0</v>
      </c>
      <c r="AH59" s="59">
        <f t="shared" ca="1" si="8"/>
        <v>3</v>
      </c>
      <c r="AI59" s="89">
        <f t="shared" ca="1" si="9"/>
        <v>5</v>
      </c>
      <c r="AJ59" s="60"/>
      <c r="AK59" s="60"/>
    </row>
    <row r="60" spans="1:147" ht="19.5" hidden="1" x14ac:dyDescent="0.3">
      <c r="A60" s="55">
        <v>271</v>
      </c>
      <c r="B60" s="55" t="s">
        <v>27</v>
      </c>
      <c r="C60" s="55" t="s">
        <v>512</v>
      </c>
      <c r="D60" s="55" t="s">
        <v>1305</v>
      </c>
      <c r="E60" s="55"/>
      <c r="F60" s="55" t="s">
        <v>28</v>
      </c>
      <c r="G60" s="55">
        <v>23010328</v>
      </c>
      <c r="H60" s="55" t="s">
        <v>1309</v>
      </c>
      <c r="I60" s="55" t="s">
        <v>1310</v>
      </c>
      <c r="J60" s="55" t="s">
        <v>1311</v>
      </c>
      <c r="K60" s="56" t="str">
        <f t="shared" si="5"/>
        <v>CORTEZ  CERQUIN CESAR EDUARDO</v>
      </c>
      <c r="L60" s="55"/>
      <c r="M60" s="62">
        <v>45962</v>
      </c>
      <c r="N60" s="55">
        <v>990854966</v>
      </c>
      <c r="O60" s="122" t="s">
        <v>1312</v>
      </c>
      <c r="P60" s="87" t="s">
        <v>30</v>
      </c>
      <c r="Q60" s="55" t="s">
        <v>27</v>
      </c>
      <c r="R60" s="64" t="s">
        <v>32</v>
      </c>
      <c r="S60" s="54">
        <v>20601242657</v>
      </c>
      <c r="T60" s="55" t="s">
        <v>33</v>
      </c>
      <c r="U60" s="54" t="s">
        <v>123</v>
      </c>
      <c r="V60" s="54" t="s">
        <v>935</v>
      </c>
      <c r="W60" s="55" t="str">
        <f>AA60</f>
        <v>CAJAMARCA</v>
      </c>
      <c r="X60" s="55" t="s">
        <v>1317</v>
      </c>
      <c r="Y60" s="55" t="s">
        <v>31</v>
      </c>
      <c r="Z60" s="55" t="s">
        <v>31</v>
      </c>
      <c r="AA60" s="55" t="s">
        <v>31</v>
      </c>
      <c r="AB60" s="59" t="str">
        <f t="shared" ca="1" si="6"/>
        <v>0 AÑOS</v>
      </c>
      <c r="AC60" s="60" t="s">
        <v>111</v>
      </c>
      <c r="AD60" s="60" t="s">
        <v>27</v>
      </c>
      <c r="AE60" s="60"/>
      <c r="AF60" s="61">
        <v>45962</v>
      </c>
      <c r="AG60" s="59">
        <f t="shared" ca="1" si="7"/>
        <v>0</v>
      </c>
      <c r="AH60" s="59">
        <f t="shared" ca="1" si="8"/>
        <v>2</v>
      </c>
      <c r="AI60" s="89">
        <f t="shared" ca="1" si="9"/>
        <v>29</v>
      </c>
      <c r="AJ60" s="60"/>
      <c r="AK60" s="60"/>
    </row>
    <row r="61" spans="1:147" ht="19.5" hidden="1" x14ac:dyDescent="0.3">
      <c r="A61" s="55">
        <v>272</v>
      </c>
      <c r="B61" s="55" t="s">
        <v>27</v>
      </c>
      <c r="C61" s="55" t="s">
        <v>512</v>
      </c>
      <c r="D61" s="55" t="s">
        <v>1306</v>
      </c>
      <c r="E61" s="55"/>
      <c r="F61" s="55" t="s">
        <v>28</v>
      </c>
      <c r="G61" s="55">
        <v>44332482</v>
      </c>
      <c r="H61" s="55" t="s">
        <v>551</v>
      </c>
      <c r="I61" s="55" t="s">
        <v>57</v>
      </c>
      <c r="J61" s="55" t="s">
        <v>1313</v>
      </c>
      <c r="K61" s="56" t="str">
        <f t="shared" si="5"/>
        <v>INFANTE  GUEVARA LESEM YONATAN</v>
      </c>
      <c r="L61" s="55"/>
      <c r="M61" s="62">
        <v>31491</v>
      </c>
      <c r="N61" s="55">
        <v>96133843</v>
      </c>
      <c r="O61" s="132" t="s">
        <v>1315</v>
      </c>
      <c r="P61" s="87" t="s">
        <v>30</v>
      </c>
      <c r="Q61" s="55" t="s">
        <v>27</v>
      </c>
      <c r="R61" s="64" t="s">
        <v>32</v>
      </c>
      <c r="S61" s="54">
        <v>20601242657</v>
      </c>
      <c r="T61" s="55" t="s">
        <v>33</v>
      </c>
      <c r="U61" s="54" t="s">
        <v>123</v>
      </c>
      <c r="V61" s="54" t="s">
        <v>935</v>
      </c>
      <c r="W61" s="55" t="s">
        <v>31</v>
      </c>
      <c r="X61" s="55" t="s">
        <v>1318</v>
      </c>
      <c r="Y61" s="55" t="s">
        <v>1314</v>
      </c>
      <c r="Z61" s="55" t="s">
        <v>926</v>
      </c>
      <c r="AA61" s="55" t="s">
        <v>31</v>
      </c>
      <c r="AB61" s="59" t="str">
        <f t="shared" ca="1" si="6"/>
        <v>39 AÑOS</v>
      </c>
      <c r="AC61" s="60" t="s">
        <v>34</v>
      </c>
      <c r="AD61" s="60" t="s">
        <v>27</v>
      </c>
      <c r="AE61" s="60"/>
      <c r="AF61" s="61">
        <v>45960</v>
      </c>
      <c r="AG61" s="59">
        <f t="shared" ca="1" si="7"/>
        <v>0</v>
      </c>
      <c r="AH61" s="59">
        <f t="shared" ca="1" si="8"/>
        <v>3</v>
      </c>
      <c r="AI61" s="89">
        <f t="shared" ca="1" si="9"/>
        <v>0</v>
      </c>
      <c r="AJ61" s="60"/>
      <c r="AK61" s="60"/>
    </row>
    <row r="62" spans="1:147" ht="19.5" hidden="1" x14ac:dyDescent="0.3">
      <c r="A62" s="55">
        <v>273</v>
      </c>
      <c r="B62" s="55" t="s">
        <v>27</v>
      </c>
      <c r="C62" s="55" t="s">
        <v>512</v>
      </c>
      <c r="D62" s="55" t="s">
        <v>1307</v>
      </c>
      <c r="E62" s="55"/>
      <c r="F62" s="55" t="s">
        <v>28</v>
      </c>
      <c r="G62" s="55">
        <v>77425660</v>
      </c>
      <c r="H62" s="55" t="s">
        <v>831</v>
      </c>
      <c r="I62" s="55" t="s">
        <v>945</v>
      </c>
      <c r="J62" s="55" t="s">
        <v>1319</v>
      </c>
      <c r="K62" s="56" t="str">
        <f t="shared" si="5"/>
        <v>PACHAMANGO  DIAZ JUAN</v>
      </c>
      <c r="L62" s="55"/>
      <c r="M62" s="62">
        <v>37196</v>
      </c>
      <c r="N62" s="55">
        <v>99247095</v>
      </c>
      <c r="O62" s="122" t="s">
        <v>1320</v>
      </c>
      <c r="P62" s="87" t="s">
        <v>30</v>
      </c>
      <c r="Q62" s="55" t="s">
        <v>27</v>
      </c>
      <c r="R62" s="64" t="s">
        <v>32</v>
      </c>
      <c r="S62" s="54">
        <v>20601242657</v>
      </c>
      <c r="T62" s="55" t="s">
        <v>33</v>
      </c>
      <c r="U62" s="54" t="s">
        <v>123</v>
      </c>
      <c r="V62" s="54" t="s">
        <v>935</v>
      </c>
      <c r="W62" s="55" t="s">
        <v>31</v>
      </c>
      <c r="X62" s="55" t="s">
        <v>293</v>
      </c>
      <c r="Y62" s="55" t="s">
        <v>293</v>
      </c>
      <c r="Z62" s="55" t="s">
        <v>31</v>
      </c>
      <c r="AA62" s="55" t="s">
        <v>31</v>
      </c>
      <c r="AB62" s="59" t="str">
        <f t="shared" ca="1" si="6"/>
        <v>24 AÑOS</v>
      </c>
      <c r="AC62" s="60" t="s">
        <v>111</v>
      </c>
      <c r="AD62" s="60" t="s">
        <v>27</v>
      </c>
      <c r="AE62" s="60"/>
      <c r="AF62" s="61">
        <v>45962</v>
      </c>
      <c r="AG62" s="59">
        <f t="shared" ca="1" si="7"/>
        <v>0</v>
      </c>
      <c r="AH62" s="59">
        <f t="shared" ca="1" si="8"/>
        <v>2</v>
      </c>
      <c r="AI62" s="89">
        <f t="shared" ca="1" si="9"/>
        <v>29</v>
      </c>
      <c r="AJ62" s="60"/>
      <c r="AK62" s="60"/>
    </row>
    <row r="63" spans="1:147" ht="19.5" hidden="1" x14ac:dyDescent="0.3">
      <c r="A63" s="55">
        <v>274</v>
      </c>
      <c r="B63" s="55" t="s">
        <v>27</v>
      </c>
      <c r="C63" s="55" t="s">
        <v>512</v>
      </c>
      <c r="D63" s="55" t="s">
        <v>1308</v>
      </c>
      <c r="E63" s="55"/>
      <c r="F63" s="55" t="s">
        <v>28</v>
      </c>
      <c r="G63" s="55">
        <v>45346039</v>
      </c>
      <c r="H63" s="55" t="s">
        <v>837</v>
      </c>
      <c r="I63" s="55" t="s">
        <v>1321</v>
      </c>
      <c r="J63" s="55" t="s">
        <v>1322</v>
      </c>
      <c r="K63" s="56" t="str">
        <f t="shared" si="5"/>
        <v>PEREZ RODAS HERMAN DOMINGO</v>
      </c>
      <c r="L63" s="55"/>
      <c r="M63" s="62">
        <v>29575</v>
      </c>
      <c r="N63" s="55">
        <v>97875157</v>
      </c>
      <c r="O63" s="132" t="s">
        <v>1324</v>
      </c>
      <c r="P63" s="87" t="s">
        <v>30</v>
      </c>
      <c r="Q63" s="55" t="s">
        <v>27</v>
      </c>
      <c r="R63" s="64" t="s">
        <v>32</v>
      </c>
      <c r="S63" s="54">
        <v>20601242657</v>
      </c>
      <c r="T63" s="55" t="s">
        <v>33</v>
      </c>
      <c r="U63" s="54" t="s">
        <v>123</v>
      </c>
      <c r="V63" s="54" t="s">
        <v>935</v>
      </c>
      <c r="W63" s="55" t="s">
        <v>31</v>
      </c>
      <c r="X63" s="55" t="s">
        <v>1323</v>
      </c>
      <c r="Y63" s="55" t="s">
        <v>654</v>
      </c>
      <c r="Z63" s="55" t="s">
        <v>654</v>
      </c>
      <c r="AA63" s="55" t="s">
        <v>31</v>
      </c>
      <c r="AB63" s="59" t="str">
        <f t="shared" ca="1" si="6"/>
        <v>45 AÑOS</v>
      </c>
      <c r="AC63" s="60" t="s">
        <v>111</v>
      </c>
      <c r="AD63" s="60" t="s">
        <v>27</v>
      </c>
      <c r="AE63" s="60"/>
      <c r="AF63" s="61">
        <v>45962</v>
      </c>
      <c r="AG63" s="59">
        <f t="shared" ca="1" si="7"/>
        <v>0</v>
      </c>
      <c r="AH63" s="59">
        <f t="shared" ca="1" si="8"/>
        <v>2</v>
      </c>
      <c r="AI63" s="89">
        <f t="shared" ca="1" si="9"/>
        <v>29</v>
      </c>
      <c r="AJ63" s="60"/>
      <c r="AK63" s="60"/>
    </row>
    <row r="64" spans="1:147" ht="19.5" hidden="1" x14ac:dyDescent="0.3">
      <c r="A64" s="55">
        <v>275</v>
      </c>
      <c r="B64" s="55" t="s">
        <v>27</v>
      </c>
      <c r="C64" s="55" t="s">
        <v>512</v>
      </c>
      <c r="D64" s="55" t="s">
        <v>1325</v>
      </c>
      <c r="E64" s="55"/>
      <c r="F64" s="55" t="s">
        <v>28</v>
      </c>
      <c r="G64" s="55">
        <v>77705545</v>
      </c>
      <c r="H64" s="55" t="s">
        <v>604</v>
      </c>
      <c r="I64" s="55" t="s">
        <v>1326</v>
      </c>
      <c r="J64" s="55" t="s">
        <v>1327</v>
      </c>
      <c r="K64" s="56" t="str">
        <f t="shared" si="5"/>
        <v>VARGAS URBINA JHOM FRANKLIN</v>
      </c>
      <c r="L64" s="55"/>
      <c r="M64" s="62">
        <v>35066</v>
      </c>
      <c r="N64" s="55">
        <v>935608207</v>
      </c>
      <c r="O64" s="122" t="s">
        <v>1328</v>
      </c>
      <c r="P64" s="87" t="s">
        <v>30</v>
      </c>
      <c r="Q64" s="55" t="s">
        <v>27</v>
      </c>
      <c r="R64" s="64" t="s">
        <v>32</v>
      </c>
      <c r="S64" s="54">
        <v>20601242657</v>
      </c>
      <c r="T64" s="55" t="s">
        <v>33</v>
      </c>
      <c r="U64" s="54" t="s">
        <v>123</v>
      </c>
      <c r="V64" s="54" t="s">
        <v>935</v>
      </c>
      <c r="W64" s="55" t="s">
        <v>31</v>
      </c>
      <c r="X64" s="55" t="s">
        <v>1330</v>
      </c>
      <c r="Y64" s="55" t="s">
        <v>1329</v>
      </c>
      <c r="Z64" s="55" t="s">
        <v>31</v>
      </c>
      <c r="AA64" s="55" t="s">
        <v>31</v>
      </c>
      <c r="AB64" s="59" t="str">
        <f t="shared" ca="1" si="6"/>
        <v>30 AÑOS</v>
      </c>
      <c r="AC64" s="60" t="s">
        <v>111</v>
      </c>
      <c r="AD64" s="60" t="s">
        <v>27</v>
      </c>
      <c r="AE64" s="60"/>
      <c r="AF64" s="61">
        <v>45960</v>
      </c>
      <c r="AG64" s="59">
        <f t="shared" ca="1" si="7"/>
        <v>0</v>
      </c>
      <c r="AH64" s="59">
        <f t="shared" ca="1" si="8"/>
        <v>3</v>
      </c>
      <c r="AI64" s="89">
        <f t="shared" ca="1" si="9"/>
        <v>0</v>
      </c>
      <c r="AJ64" s="60"/>
      <c r="AK64" s="60"/>
    </row>
    <row r="65" spans="1:37" ht="19.5" hidden="1" x14ac:dyDescent="0.3">
      <c r="A65" s="55">
        <v>277</v>
      </c>
      <c r="B65" s="55" t="s">
        <v>27</v>
      </c>
      <c r="C65" s="55" t="s">
        <v>512</v>
      </c>
      <c r="D65" s="55" t="s">
        <v>1343</v>
      </c>
      <c r="E65" s="55"/>
      <c r="F65" s="55" t="s">
        <v>28</v>
      </c>
      <c r="G65" s="55">
        <v>76862919</v>
      </c>
      <c r="H65" s="55" t="s">
        <v>590</v>
      </c>
      <c r="I65" s="55" t="s">
        <v>98</v>
      </c>
      <c r="J65" s="55" t="s">
        <v>1333</v>
      </c>
      <c r="K65" s="56" t="str">
        <f t="shared" si="5"/>
        <v xml:space="preserve">SORIANO TANTA MANUEL </v>
      </c>
      <c r="L65" s="55"/>
      <c r="M65" s="62">
        <v>36787</v>
      </c>
      <c r="N65" s="55">
        <v>941280713</v>
      </c>
      <c r="O65" s="122" t="s">
        <v>1334</v>
      </c>
      <c r="P65" s="87" t="s">
        <v>30</v>
      </c>
      <c r="Q65" s="55" t="s">
        <v>27</v>
      </c>
      <c r="R65" s="64" t="s">
        <v>32</v>
      </c>
      <c r="S65" s="54">
        <v>20601242657</v>
      </c>
      <c r="T65" s="55" t="s">
        <v>33</v>
      </c>
      <c r="U65" s="54" t="s">
        <v>123</v>
      </c>
      <c r="V65" s="54" t="s">
        <v>935</v>
      </c>
      <c r="W65" s="55" t="s">
        <v>31</v>
      </c>
      <c r="X65" s="55" t="s">
        <v>1335</v>
      </c>
      <c r="Y65" s="55" t="s">
        <v>31</v>
      </c>
      <c r="Z65" s="55" t="s">
        <v>31</v>
      </c>
      <c r="AA65" s="55" t="s">
        <v>31</v>
      </c>
      <c r="AB65" s="59" t="str">
        <f t="shared" ca="1" si="6"/>
        <v>25 AÑOS</v>
      </c>
      <c r="AC65" s="60" t="s">
        <v>111</v>
      </c>
      <c r="AD65" s="60" t="s">
        <v>27</v>
      </c>
      <c r="AE65" s="60"/>
      <c r="AF65" s="61">
        <v>45967</v>
      </c>
      <c r="AG65" s="59">
        <f t="shared" ca="1" si="7"/>
        <v>0</v>
      </c>
      <c r="AH65" s="59">
        <f t="shared" ca="1" si="8"/>
        <v>2</v>
      </c>
      <c r="AI65" s="89">
        <f t="shared" ca="1" si="9"/>
        <v>24</v>
      </c>
      <c r="AJ65" s="60"/>
      <c r="AK65" s="60"/>
    </row>
    <row r="66" spans="1:37" ht="19.5" hidden="1" x14ac:dyDescent="0.3">
      <c r="A66" s="55">
        <v>279</v>
      </c>
      <c r="B66" s="55" t="s">
        <v>27</v>
      </c>
      <c r="C66" s="55" t="s">
        <v>512</v>
      </c>
      <c r="D66" s="55" t="s">
        <v>1345</v>
      </c>
      <c r="E66" s="55"/>
      <c r="F66" s="55" t="s">
        <v>28</v>
      </c>
      <c r="G66" s="55">
        <v>46790663</v>
      </c>
      <c r="H66" s="55" t="s">
        <v>911</v>
      </c>
      <c r="I66" s="55" t="s">
        <v>55</v>
      </c>
      <c r="J66" s="55" t="s">
        <v>647</v>
      </c>
      <c r="K66" s="56" t="str">
        <f t="shared" si="5"/>
        <v>VASQUEZ HUAMAN WILLIAM JOEL</v>
      </c>
      <c r="L66" s="55"/>
      <c r="M66" s="62">
        <v>33277</v>
      </c>
      <c r="N66" s="55">
        <v>955769367</v>
      </c>
      <c r="O66" s="122" t="s">
        <v>1332</v>
      </c>
      <c r="P66" s="87" t="s">
        <v>30</v>
      </c>
      <c r="Q66" s="55" t="s">
        <v>27</v>
      </c>
      <c r="R66" s="64" t="s">
        <v>32</v>
      </c>
      <c r="S66" s="54">
        <v>20601242657</v>
      </c>
      <c r="T66" s="55" t="s">
        <v>33</v>
      </c>
      <c r="U66" s="54" t="s">
        <v>123</v>
      </c>
      <c r="V66" s="54" t="s">
        <v>935</v>
      </c>
      <c r="W66" s="55" t="s">
        <v>31</v>
      </c>
      <c r="X66" s="55" t="s">
        <v>1331</v>
      </c>
      <c r="Y66" s="55" t="s">
        <v>31</v>
      </c>
      <c r="Z66" s="55" t="s">
        <v>31</v>
      </c>
      <c r="AA66" s="55" t="s">
        <v>31</v>
      </c>
      <c r="AB66" s="59" t="str">
        <f t="shared" ca="1" si="6"/>
        <v>34 AÑOS</v>
      </c>
      <c r="AC66" s="60" t="s">
        <v>111</v>
      </c>
      <c r="AD66" s="60" t="s">
        <v>27</v>
      </c>
      <c r="AE66" s="60"/>
      <c r="AF66" s="61">
        <v>45967</v>
      </c>
      <c r="AG66" s="59">
        <f t="shared" ca="1" si="7"/>
        <v>0</v>
      </c>
      <c r="AH66" s="59">
        <f t="shared" ca="1" si="8"/>
        <v>2</v>
      </c>
      <c r="AI66" s="89">
        <f t="shared" ca="1" si="9"/>
        <v>24</v>
      </c>
      <c r="AJ66" s="60"/>
      <c r="AK66" s="60"/>
    </row>
    <row r="67" spans="1:37" ht="19.5" hidden="1" x14ac:dyDescent="0.3">
      <c r="A67" s="55">
        <v>281</v>
      </c>
      <c r="B67" s="55" t="s">
        <v>27</v>
      </c>
      <c r="C67" s="55" t="s">
        <v>512</v>
      </c>
      <c r="D67" s="55" t="s">
        <v>1353</v>
      </c>
      <c r="E67" s="55"/>
      <c r="F67" s="55" t="s">
        <v>28</v>
      </c>
      <c r="G67" s="55">
        <v>47252967</v>
      </c>
      <c r="H67" s="55" t="s">
        <v>1354</v>
      </c>
      <c r="I67" s="55" t="s">
        <v>1355</v>
      </c>
      <c r="J67" s="55" t="s">
        <v>1356</v>
      </c>
      <c r="K67" s="56" t="str">
        <f t="shared" ref="K67" si="10">CONCATENATE(H67," ",I67," ",J67)</f>
        <v>GAMBOA TALAVERA HAROLD BRYAN</v>
      </c>
      <c r="M67" s="62">
        <v>33410</v>
      </c>
      <c r="N67" s="55">
        <v>915235295</v>
      </c>
      <c r="O67" s="122" t="s">
        <v>1357</v>
      </c>
      <c r="P67" s="87" t="s">
        <v>30</v>
      </c>
      <c r="Q67" s="55" t="s">
        <v>27</v>
      </c>
      <c r="R67" s="64" t="s">
        <v>32</v>
      </c>
      <c r="S67" s="54">
        <v>20601242657</v>
      </c>
      <c r="T67" s="55" t="s">
        <v>33</v>
      </c>
      <c r="U67" s="54" t="s">
        <v>123</v>
      </c>
      <c r="V67" s="54" t="s">
        <v>935</v>
      </c>
      <c r="W67" s="55" t="s">
        <v>37</v>
      </c>
      <c r="X67" s="55" t="s">
        <v>1358</v>
      </c>
      <c r="Y67" s="55" t="s">
        <v>1100</v>
      </c>
      <c r="Z67" s="55" t="s">
        <v>37</v>
      </c>
      <c r="AA67" s="55" t="s">
        <v>37</v>
      </c>
      <c r="AB67" s="59" t="str">
        <f t="shared" ca="1" si="6"/>
        <v>34 AÑOS</v>
      </c>
      <c r="AC67" s="60" t="s">
        <v>34</v>
      </c>
      <c r="AD67" s="60" t="s">
        <v>27</v>
      </c>
      <c r="AE67" s="60"/>
      <c r="AF67" s="61">
        <v>45981</v>
      </c>
      <c r="AG67" s="59">
        <f t="shared" ca="1" si="7"/>
        <v>0</v>
      </c>
      <c r="AH67" s="59">
        <f t="shared" ca="1" si="8"/>
        <v>2</v>
      </c>
      <c r="AI67" s="89">
        <f t="shared" ca="1" si="9"/>
        <v>10</v>
      </c>
      <c r="AJ67" s="60"/>
      <c r="AK67" s="60"/>
    </row>
    <row r="68" spans="1:37" ht="19.5" hidden="1" x14ac:dyDescent="0.3">
      <c r="A68" s="55">
        <v>282</v>
      </c>
      <c r="B68" s="55" t="s">
        <v>27</v>
      </c>
      <c r="C68" s="55" t="s">
        <v>512</v>
      </c>
      <c r="D68" s="55" t="s">
        <v>1359</v>
      </c>
      <c r="E68" s="55"/>
      <c r="F68" s="55" t="s">
        <v>28</v>
      </c>
      <c r="G68" s="55">
        <v>73828995</v>
      </c>
      <c r="H68" s="55" t="s">
        <v>1365</v>
      </c>
      <c r="I68" s="55" t="s">
        <v>532</v>
      </c>
      <c r="J68" s="55" t="s">
        <v>1366</v>
      </c>
      <c r="K68" s="56" t="str">
        <f t="shared" ref="K68:K71" si="11">CONCATENATE(H68," ",I68," ",J68)</f>
        <v>VIVANCO LEON DIEGO LEONEL</v>
      </c>
      <c r="M68" s="62">
        <v>38190</v>
      </c>
      <c r="N68" s="55">
        <v>914764014</v>
      </c>
      <c r="O68" s="122" t="s">
        <v>1367</v>
      </c>
      <c r="P68" s="87" t="s">
        <v>30</v>
      </c>
      <c r="Q68" s="55" t="s">
        <v>27</v>
      </c>
      <c r="R68" s="64" t="s">
        <v>32</v>
      </c>
      <c r="S68" s="54">
        <v>20601242657</v>
      </c>
      <c r="T68" s="55" t="s">
        <v>33</v>
      </c>
      <c r="U68" s="54" t="s">
        <v>123</v>
      </c>
      <c r="V68" s="54" t="s">
        <v>935</v>
      </c>
      <c r="W68" s="55" t="s">
        <v>37</v>
      </c>
      <c r="X68" s="55" t="s">
        <v>1368</v>
      </c>
      <c r="Y68" s="55" t="s">
        <v>1100</v>
      </c>
      <c r="Z68" s="55" t="s">
        <v>37</v>
      </c>
      <c r="AA68" s="55" t="s">
        <v>37</v>
      </c>
      <c r="AB68" s="59" t="str">
        <f t="shared" ca="1" si="6"/>
        <v>21 AÑOS</v>
      </c>
      <c r="AC68" s="60" t="s">
        <v>34</v>
      </c>
      <c r="AD68" s="60" t="s">
        <v>27</v>
      </c>
      <c r="AE68" s="60"/>
      <c r="AF68" s="61">
        <v>45988</v>
      </c>
      <c r="AG68" s="59">
        <f t="shared" ca="1" si="7"/>
        <v>0</v>
      </c>
      <c r="AH68" s="59">
        <f t="shared" ca="1" si="8"/>
        <v>2</v>
      </c>
      <c r="AI68" s="89">
        <f t="shared" ca="1" si="9"/>
        <v>3</v>
      </c>
      <c r="AJ68" s="60"/>
      <c r="AK68" s="60"/>
    </row>
    <row r="69" spans="1:37" ht="19.5" hidden="1" x14ac:dyDescent="0.3">
      <c r="A69" s="55">
        <v>283</v>
      </c>
      <c r="B69" s="55" t="s">
        <v>27</v>
      </c>
      <c r="C69" s="55" t="s">
        <v>512</v>
      </c>
      <c r="D69" s="55" t="s">
        <v>1360</v>
      </c>
      <c r="E69" s="55"/>
      <c r="F69" s="55" t="s">
        <v>28</v>
      </c>
      <c r="G69" s="55">
        <v>71140416</v>
      </c>
      <c r="H69" s="55" t="s">
        <v>640</v>
      </c>
      <c r="I69" s="55" t="s">
        <v>1321</v>
      </c>
      <c r="J69" s="55" t="s">
        <v>1363</v>
      </c>
      <c r="K69" s="56" t="str">
        <f t="shared" si="11"/>
        <v>ESPINOZA RODAS GLEISER ANIBAL</v>
      </c>
      <c r="M69" s="62">
        <v>35758</v>
      </c>
      <c r="N69" s="55">
        <v>947030035</v>
      </c>
      <c r="O69" s="122" t="s">
        <v>1364</v>
      </c>
      <c r="P69" s="87" t="s">
        <v>30</v>
      </c>
      <c r="Q69" s="55" t="s">
        <v>27</v>
      </c>
      <c r="R69" s="64" t="s">
        <v>32</v>
      </c>
      <c r="S69" s="54">
        <v>20601242657</v>
      </c>
      <c r="T69" s="55" t="s">
        <v>33</v>
      </c>
      <c r="U69" s="54" t="s">
        <v>123</v>
      </c>
      <c r="V69" s="54" t="s">
        <v>935</v>
      </c>
      <c r="W69" s="55" t="s">
        <v>31</v>
      </c>
      <c r="X69" s="55" t="s">
        <v>1323</v>
      </c>
      <c r="Y69" s="55" t="s">
        <v>654</v>
      </c>
      <c r="Z69" s="55" t="s">
        <v>654</v>
      </c>
      <c r="AA69" s="55" t="s">
        <v>31</v>
      </c>
      <c r="AB69" s="59" t="str">
        <f t="shared" ca="1" si="6"/>
        <v>28 AÑOS</v>
      </c>
      <c r="AC69" s="60" t="s">
        <v>111</v>
      </c>
      <c r="AD69" s="60" t="s">
        <v>27</v>
      </c>
      <c r="AE69" s="60"/>
      <c r="AF69" s="61">
        <v>45988</v>
      </c>
      <c r="AG69" s="59">
        <f t="shared" ca="1" si="7"/>
        <v>0</v>
      </c>
      <c r="AH69" s="59">
        <f t="shared" ca="1" si="8"/>
        <v>2</v>
      </c>
      <c r="AI69" s="89">
        <f t="shared" ca="1" si="9"/>
        <v>3</v>
      </c>
      <c r="AJ69" s="60"/>
      <c r="AK69" s="60"/>
    </row>
    <row r="70" spans="1:37" ht="19.5" hidden="1" x14ac:dyDescent="0.3">
      <c r="A70" s="55">
        <v>284</v>
      </c>
      <c r="B70" s="55" t="s">
        <v>27</v>
      </c>
      <c r="C70" s="55" t="s">
        <v>512</v>
      </c>
      <c r="D70" s="55" t="s">
        <v>1361</v>
      </c>
      <c r="E70" s="55"/>
      <c r="F70" s="55" t="s">
        <v>28</v>
      </c>
      <c r="G70" s="55">
        <v>41287709</v>
      </c>
      <c r="H70" s="55" t="s">
        <v>1369</v>
      </c>
      <c r="I70" s="55" t="s">
        <v>1370</v>
      </c>
      <c r="J70" s="55" t="s">
        <v>349</v>
      </c>
      <c r="K70" s="56" t="str">
        <f t="shared" si="11"/>
        <v>TACILLA CHAUPE ROBERTO</v>
      </c>
      <c r="M70" s="62">
        <v>29842</v>
      </c>
      <c r="N70" s="55">
        <v>978685983</v>
      </c>
      <c r="O70" s="122" t="s">
        <v>1374</v>
      </c>
      <c r="P70" s="87" t="s">
        <v>30</v>
      </c>
      <c r="Q70" s="55" t="s">
        <v>27</v>
      </c>
      <c r="R70" s="64" t="s">
        <v>32</v>
      </c>
      <c r="S70" s="54">
        <v>20601242657</v>
      </c>
      <c r="T70" s="55" t="s">
        <v>33</v>
      </c>
      <c r="U70" s="54" t="s">
        <v>123</v>
      </c>
      <c r="V70" s="54" t="s">
        <v>935</v>
      </c>
      <c r="W70" s="55" t="s">
        <v>31</v>
      </c>
      <c r="X70" s="55" t="s">
        <v>1016</v>
      </c>
      <c r="Y70" s="55" t="s">
        <v>1015</v>
      </c>
      <c r="Z70" s="55" t="s">
        <v>1014</v>
      </c>
      <c r="AA70" s="55" t="s">
        <v>31</v>
      </c>
      <c r="AB70" s="59" t="str">
        <f t="shared" ca="1" si="6"/>
        <v>44 AÑOS</v>
      </c>
      <c r="AC70" s="60" t="s">
        <v>111</v>
      </c>
      <c r="AD70" s="60" t="s">
        <v>27</v>
      </c>
      <c r="AE70" s="60"/>
      <c r="AF70" s="61">
        <v>45990</v>
      </c>
      <c r="AG70" s="59">
        <f t="shared" ca="1" si="7"/>
        <v>0</v>
      </c>
      <c r="AH70" s="59">
        <f t="shared" ca="1" si="8"/>
        <v>2</v>
      </c>
      <c r="AI70" s="89">
        <f t="shared" ca="1" si="9"/>
        <v>1</v>
      </c>
      <c r="AJ70" s="60"/>
      <c r="AK70" s="60"/>
    </row>
    <row r="71" spans="1:37" ht="19.5" hidden="1" x14ac:dyDescent="0.3">
      <c r="A71" s="55">
        <v>285</v>
      </c>
      <c r="B71" s="55" t="s">
        <v>27</v>
      </c>
      <c r="C71" s="55" t="s">
        <v>512</v>
      </c>
      <c r="D71" s="55" t="s">
        <v>1362</v>
      </c>
      <c r="E71" s="55"/>
      <c r="F71" s="55" t="s">
        <v>28</v>
      </c>
      <c r="G71" s="55">
        <v>75716081</v>
      </c>
      <c r="H71" s="55" t="s">
        <v>93</v>
      </c>
      <c r="I71" s="55" t="s">
        <v>69</v>
      </c>
      <c r="J71" s="55" t="s">
        <v>1371</v>
      </c>
      <c r="K71" s="56" t="str">
        <f t="shared" si="11"/>
        <v>SALAZAR CHILON PEDRO</v>
      </c>
      <c r="M71" s="62">
        <v>34737</v>
      </c>
      <c r="N71" s="55">
        <v>910726599</v>
      </c>
      <c r="O71" s="122" t="s">
        <v>1372</v>
      </c>
      <c r="P71" s="87" t="s">
        <v>30</v>
      </c>
      <c r="Q71" s="55" t="s">
        <v>27</v>
      </c>
      <c r="R71" s="64" t="s">
        <v>32</v>
      </c>
      <c r="S71" s="54">
        <v>20601242657</v>
      </c>
      <c r="T71" s="55" t="s">
        <v>33</v>
      </c>
      <c r="U71" s="54" t="s">
        <v>123</v>
      </c>
      <c r="V71" s="54" t="s">
        <v>935</v>
      </c>
      <c r="W71" s="55" t="s">
        <v>31</v>
      </c>
      <c r="X71" s="55" t="s">
        <v>1373</v>
      </c>
      <c r="Y71" s="55" t="s">
        <v>31</v>
      </c>
      <c r="Z71" s="55" t="s">
        <v>31</v>
      </c>
      <c r="AA71" s="55" t="s">
        <v>31</v>
      </c>
      <c r="AB71" s="59" t="str">
        <f t="shared" ca="1" si="6"/>
        <v>30 AÑOS</v>
      </c>
      <c r="AC71" s="60" t="s">
        <v>111</v>
      </c>
      <c r="AD71" s="60" t="s">
        <v>27</v>
      </c>
      <c r="AE71" s="60"/>
      <c r="AF71" s="61">
        <v>46002</v>
      </c>
      <c r="AG71" s="59">
        <f t="shared" ca="1" si="7"/>
        <v>0</v>
      </c>
      <c r="AH71" s="59">
        <f t="shared" ca="1" si="8"/>
        <v>1</v>
      </c>
      <c r="AI71" s="89">
        <f t="shared" ca="1" si="9"/>
        <v>19</v>
      </c>
      <c r="AJ71" s="60"/>
      <c r="AK71" s="60"/>
    </row>
    <row r="72" spans="1:37" ht="19.5" hidden="1" x14ac:dyDescent="0.3">
      <c r="A72" s="55">
        <v>286</v>
      </c>
      <c r="B72" s="55" t="s">
        <v>27</v>
      </c>
      <c r="C72" s="55" t="s">
        <v>512</v>
      </c>
      <c r="D72" s="55" t="s">
        <v>1385</v>
      </c>
      <c r="E72" s="55"/>
      <c r="F72" s="55" t="s">
        <v>28</v>
      </c>
      <c r="G72" s="55">
        <v>71766968</v>
      </c>
      <c r="H72" s="55" t="s">
        <v>51</v>
      </c>
      <c r="I72" s="55" t="s">
        <v>51</v>
      </c>
      <c r="J72" s="55" t="s">
        <v>1387</v>
      </c>
      <c r="K72" s="56" t="str">
        <f t="shared" ref="K72:K73" si="12">CONCATENATE(H72," ",I72," ",J72)</f>
        <v>CASTREJON CASTREJON JESUS DAVID</v>
      </c>
      <c r="M72" s="62">
        <v>36379</v>
      </c>
      <c r="N72" s="55">
        <v>921194256</v>
      </c>
      <c r="O72" s="122" t="s">
        <v>1388</v>
      </c>
      <c r="P72" s="87" t="s">
        <v>30</v>
      </c>
      <c r="Q72" s="55" t="s">
        <v>27</v>
      </c>
      <c r="R72" s="64" t="s">
        <v>32</v>
      </c>
      <c r="S72" s="54">
        <v>20601242657</v>
      </c>
      <c r="T72" s="55" t="s">
        <v>33</v>
      </c>
      <c r="U72" s="54" t="s">
        <v>123</v>
      </c>
      <c r="V72" s="54" t="s">
        <v>285</v>
      </c>
      <c r="W72" s="55" t="s">
        <v>31</v>
      </c>
      <c r="X72" s="55" t="s">
        <v>1389</v>
      </c>
      <c r="Y72" s="55" t="s">
        <v>509</v>
      </c>
      <c r="Z72" s="55" t="s">
        <v>31</v>
      </c>
      <c r="AA72" s="55" t="s">
        <v>31</v>
      </c>
      <c r="AB72" s="59" t="str">
        <f t="shared" ca="1" si="6"/>
        <v>26 AÑOS</v>
      </c>
      <c r="AC72" s="60" t="s">
        <v>111</v>
      </c>
      <c r="AD72" s="60" t="s">
        <v>27</v>
      </c>
      <c r="AE72" s="60"/>
      <c r="AF72" s="61">
        <v>46009</v>
      </c>
      <c r="AG72" s="59">
        <f t="shared" ca="1" si="7"/>
        <v>0</v>
      </c>
      <c r="AH72" s="59">
        <f t="shared" ca="1" si="8"/>
        <v>1</v>
      </c>
      <c r="AI72" s="89">
        <f t="shared" ca="1" si="9"/>
        <v>12</v>
      </c>
      <c r="AJ72" s="60"/>
      <c r="AK72" s="60"/>
    </row>
    <row r="73" spans="1:37" ht="19.5" x14ac:dyDescent="0.3">
      <c r="A73" s="55">
        <v>287</v>
      </c>
      <c r="B73" s="55" t="s">
        <v>27</v>
      </c>
      <c r="C73" s="55" t="s">
        <v>512</v>
      </c>
      <c r="D73" s="55" t="s">
        <v>1386</v>
      </c>
      <c r="E73" s="55"/>
      <c r="F73" s="55" t="s">
        <v>28</v>
      </c>
      <c r="G73" s="55">
        <v>73255244</v>
      </c>
      <c r="H73" s="55" t="s">
        <v>1390</v>
      </c>
      <c r="I73" s="55" t="s">
        <v>1391</v>
      </c>
      <c r="J73" s="55" t="s">
        <v>1392</v>
      </c>
      <c r="K73" s="56" t="str">
        <f t="shared" si="12"/>
        <v>NARRO BRINGAS CESAR CARLOS</v>
      </c>
      <c r="M73" s="62">
        <v>36817</v>
      </c>
      <c r="N73" s="55">
        <v>980806969</v>
      </c>
      <c r="O73" s="122" t="s">
        <v>1393</v>
      </c>
      <c r="P73" s="87" t="s">
        <v>30</v>
      </c>
      <c r="Q73" s="55" t="s">
        <v>27</v>
      </c>
      <c r="R73" s="64" t="s">
        <v>32</v>
      </c>
      <c r="S73" s="54">
        <v>20601242657</v>
      </c>
      <c r="T73" s="55" t="s">
        <v>33</v>
      </c>
      <c r="U73" s="54" t="s">
        <v>123</v>
      </c>
      <c r="V73" s="54" t="s">
        <v>935</v>
      </c>
      <c r="W73" s="55" t="s">
        <v>31</v>
      </c>
      <c r="X73" s="55" t="s">
        <v>1394</v>
      </c>
      <c r="Y73" s="55" t="s">
        <v>31</v>
      </c>
      <c r="Z73" s="55" t="s">
        <v>31</v>
      </c>
      <c r="AA73" s="55" t="s">
        <v>31</v>
      </c>
      <c r="AB73" s="59" t="str">
        <f t="shared" ca="1" si="6"/>
        <v>25 AÑOS</v>
      </c>
      <c r="AC73" s="60" t="s">
        <v>111</v>
      </c>
      <c r="AD73" s="60" t="s">
        <v>27</v>
      </c>
      <c r="AE73" s="60"/>
      <c r="AF73" s="61">
        <v>46009</v>
      </c>
      <c r="AG73" s="59">
        <f t="shared" ca="1" si="7"/>
        <v>0</v>
      </c>
      <c r="AH73" s="59">
        <f t="shared" ca="1" si="8"/>
        <v>1</v>
      </c>
      <c r="AI73" s="89">
        <f t="shared" ca="1" si="9"/>
        <v>12</v>
      </c>
      <c r="AJ73" s="60"/>
      <c r="AK73" s="60"/>
    </row>
    <row r="74" spans="1:37" ht="19.5" x14ac:dyDescent="0.3">
      <c r="A74" s="55">
        <v>288</v>
      </c>
      <c r="B74" s="55" t="s">
        <v>27</v>
      </c>
      <c r="C74" s="55" t="s">
        <v>512</v>
      </c>
      <c r="D74" s="55" t="s">
        <v>1395</v>
      </c>
      <c r="E74" s="55"/>
      <c r="F74" s="55" t="s">
        <v>28</v>
      </c>
      <c r="G74" s="55">
        <v>47007737</v>
      </c>
      <c r="H74" s="55" t="s">
        <v>344</v>
      </c>
      <c r="I74" s="55" t="s">
        <v>604</v>
      </c>
      <c r="J74" s="55" t="s">
        <v>1371</v>
      </c>
      <c r="K74" s="56" t="str">
        <f>CONCATENATE(H74," ",I74," ",J74)</f>
        <v>DE LA CRUZ VARGAS PEDRO</v>
      </c>
      <c r="M74" s="62">
        <v>33746</v>
      </c>
      <c r="N74" s="55">
        <v>971767905</v>
      </c>
      <c r="O74" s="122" t="s">
        <v>1403</v>
      </c>
      <c r="P74" s="87" t="s">
        <v>30</v>
      </c>
      <c r="Q74" s="55" t="s">
        <v>27</v>
      </c>
      <c r="R74" s="64" t="s">
        <v>32</v>
      </c>
      <c r="S74" s="54">
        <v>20601242657</v>
      </c>
      <c r="T74" s="55" t="s">
        <v>33</v>
      </c>
      <c r="U74" s="54" t="s">
        <v>123</v>
      </c>
      <c r="V74" s="54" t="s">
        <v>935</v>
      </c>
      <c r="W74" s="55" t="s">
        <v>31</v>
      </c>
      <c r="X74" s="55" t="s">
        <v>1404</v>
      </c>
      <c r="Y74" s="55" t="s">
        <v>293</v>
      </c>
      <c r="Z74" s="55" t="s">
        <v>31</v>
      </c>
      <c r="AA74" s="55" t="s">
        <v>31</v>
      </c>
      <c r="AB74" s="59" t="str">
        <f t="shared" ca="1" si="6"/>
        <v>33 AÑOS</v>
      </c>
      <c r="AC74" s="60" t="s">
        <v>111</v>
      </c>
      <c r="AD74" s="60" t="s">
        <v>27</v>
      </c>
      <c r="AE74" s="60"/>
      <c r="AF74" s="61">
        <v>46016</v>
      </c>
      <c r="AG74" s="59">
        <f t="shared" ca="1" si="7"/>
        <v>0</v>
      </c>
      <c r="AH74" s="59">
        <f t="shared" ca="1" si="8"/>
        <v>1</v>
      </c>
      <c r="AI74" s="89">
        <f t="shared" ca="1" si="9"/>
        <v>5</v>
      </c>
      <c r="AJ74" s="60"/>
      <c r="AK74" s="60"/>
    </row>
    <row r="75" spans="1:37" ht="19.5" x14ac:dyDescent="0.3">
      <c r="A75" s="55">
        <v>289</v>
      </c>
      <c r="B75" s="55" t="s">
        <v>27</v>
      </c>
      <c r="C75" s="55" t="s">
        <v>512</v>
      </c>
      <c r="D75" s="55" t="s">
        <v>1396</v>
      </c>
      <c r="E75" s="55"/>
      <c r="F75" s="55" t="s">
        <v>28</v>
      </c>
      <c r="G75" s="55">
        <v>73796114</v>
      </c>
      <c r="H75" s="55" t="s">
        <v>1398</v>
      </c>
      <c r="I75" s="55" t="s">
        <v>1399</v>
      </c>
      <c r="J75" s="55" t="s">
        <v>1400</v>
      </c>
      <c r="K75" s="56" t="str">
        <f t="shared" ref="K75:K76" si="13">CONCATENATE(H75," ",I75," ",J75)</f>
        <v>VALDIVIEZO OLIVERA LUIS EDUARDO</v>
      </c>
      <c r="M75" s="62">
        <v>36741</v>
      </c>
      <c r="N75" s="55">
        <v>902475669</v>
      </c>
      <c r="O75" s="122" t="s">
        <v>1401</v>
      </c>
      <c r="P75" s="87" t="s">
        <v>30</v>
      </c>
      <c r="Q75" s="55" t="s">
        <v>27</v>
      </c>
      <c r="R75" s="64" t="s">
        <v>32</v>
      </c>
      <c r="S75" s="54">
        <v>20601242657</v>
      </c>
      <c r="T75" s="55" t="s">
        <v>33</v>
      </c>
      <c r="U75" s="54" t="s">
        <v>123</v>
      </c>
      <c r="V75" s="54" t="s">
        <v>935</v>
      </c>
      <c r="W75" s="55" t="s">
        <v>333</v>
      </c>
      <c r="X75" s="55" t="s">
        <v>1402</v>
      </c>
      <c r="Y75" s="55" t="s">
        <v>325</v>
      </c>
      <c r="Z75" s="55" t="s">
        <v>521</v>
      </c>
      <c r="AA75" s="55" t="s">
        <v>333</v>
      </c>
      <c r="AB75" s="59" t="str">
        <f t="shared" ca="1" si="6"/>
        <v>25 AÑOS</v>
      </c>
      <c r="AC75" s="60" t="s">
        <v>111</v>
      </c>
      <c r="AD75" s="60" t="s">
        <v>27</v>
      </c>
      <c r="AE75" s="60"/>
      <c r="AF75" s="61">
        <v>46016</v>
      </c>
      <c r="AG75" s="59">
        <f t="shared" ca="1" si="7"/>
        <v>0</v>
      </c>
      <c r="AH75" s="59">
        <f t="shared" ca="1" si="8"/>
        <v>1</v>
      </c>
      <c r="AI75" s="89">
        <f t="shared" ca="1" si="9"/>
        <v>5</v>
      </c>
      <c r="AJ75" s="60"/>
      <c r="AK75" s="60"/>
    </row>
    <row r="76" spans="1:37" ht="19.5" x14ac:dyDescent="0.3">
      <c r="A76" s="55">
        <v>290</v>
      </c>
      <c r="B76" s="55" t="s">
        <v>27</v>
      </c>
      <c r="C76" s="55" t="s">
        <v>512</v>
      </c>
      <c r="D76" s="55" t="s">
        <v>1397</v>
      </c>
      <c r="E76" s="55"/>
      <c r="F76" s="55" t="s">
        <v>28</v>
      </c>
      <c r="G76" s="55">
        <v>44967933</v>
      </c>
      <c r="H76" s="55" t="s">
        <v>1405</v>
      </c>
      <c r="I76" s="55" t="s">
        <v>846</v>
      </c>
      <c r="J76" s="55" t="s">
        <v>547</v>
      </c>
      <c r="K76" s="56" t="str">
        <f t="shared" si="13"/>
        <v>TINCO GUTIERREZ ANTONIO</v>
      </c>
      <c r="M76" s="62">
        <v>31583</v>
      </c>
      <c r="N76" s="55">
        <v>959733297</v>
      </c>
      <c r="O76" s="122" t="s">
        <v>1406</v>
      </c>
      <c r="P76" s="87" t="s">
        <v>30</v>
      </c>
      <c r="Q76" s="55" t="s">
        <v>27</v>
      </c>
      <c r="R76" s="64" t="s">
        <v>32</v>
      </c>
      <c r="S76" s="54">
        <v>20601242657</v>
      </c>
      <c r="T76" s="55" t="s">
        <v>33</v>
      </c>
      <c r="U76" s="54" t="s">
        <v>123</v>
      </c>
      <c r="V76" s="54" t="s">
        <v>935</v>
      </c>
      <c r="W76" s="55" t="s">
        <v>1407</v>
      </c>
      <c r="X76" s="55" t="s">
        <v>1408</v>
      </c>
      <c r="Y76" s="55" t="s">
        <v>1407</v>
      </c>
      <c r="Z76" s="55" t="s">
        <v>1407</v>
      </c>
      <c r="AA76" s="55" t="s">
        <v>1407</v>
      </c>
      <c r="AB76" s="59" t="str">
        <f t="shared" ca="1" si="6"/>
        <v>39 AÑOS</v>
      </c>
      <c r="AC76" s="60" t="s">
        <v>111</v>
      </c>
      <c r="AD76" s="60" t="s">
        <v>27</v>
      </c>
      <c r="AE76" s="60"/>
      <c r="AF76" s="61">
        <v>46016</v>
      </c>
      <c r="AG76" s="59">
        <f t="shared" ca="1" si="7"/>
        <v>0</v>
      </c>
      <c r="AH76" s="59">
        <f t="shared" ca="1" si="8"/>
        <v>1</v>
      </c>
      <c r="AI76" s="89">
        <f t="shared" ca="1" si="9"/>
        <v>5</v>
      </c>
      <c r="AJ76" s="60"/>
      <c r="AK76" s="60"/>
    </row>
    <row r="77" spans="1:37" ht="19.5" hidden="1" x14ac:dyDescent="0.3">
      <c r="A77" s="55">
        <v>291</v>
      </c>
      <c r="B77" s="55" t="s">
        <v>27</v>
      </c>
      <c r="C77" s="55" t="s">
        <v>512</v>
      </c>
      <c r="D77" s="55" t="s">
        <v>1423</v>
      </c>
      <c r="E77" s="55"/>
      <c r="F77" s="55" t="s">
        <v>28</v>
      </c>
      <c r="G77" s="55">
        <v>73427626</v>
      </c>
      <c r="H77" s="55" t="s">
        <v>911</v>
      </c>
      <c r="I77" s="55" t="s">
        <v>81</v>
      </c>
      <c r="J77" s="55" t="s">
        <v>1415</v>
      </c>
      <c r="K77" s="56" t="str">
        <f t="shared" ref="K77" si="14">CONCATENATE(H77," ",I77," ",J77)</f>
        <v>VASQUEZ MESTANZA JASON JOEL</v>
      </c>
      <c r="M77" s="62">
        <v>34055</v>
      </c>
      <c r="N77" s="55">
        <v>933020329</v>
      </c>
      <c r="O77" s="122" t="s">
        <v>1416</v>
      </c>
      <c r="P77" s="87" t="s">
        <v>30</v>
      </c>
      <c r="Q77" s="55" t="s">
        <v>27</v>
      </c>
      <c r="R77" s="64" t="s">
        <v>32</v>
      </c>
      <c r="S77" s="54">
        <v>20601242658</v>
      </c>
      <c r="T77" s="55" t="s">
        <v>33</v>
      </c>
      <c r="U77" s="54" t="s">
        <v>123</v>
      </c>
      <c r="V77" s="54" t="s">
        <v>935</v>
      </c>
      <c r="W77" s="55" t="s">
        <v>1407</v>
      </c>
      <c r="X77" s="55" t="s">
        <v>1417</v>
      </c>
      <c r="Y77" s="55" t="s">
        <v>103</v>
      </c>
      <c r="Z77" s="55" t="s">
        <v>521</v>
      </c>
      <c r="AA77" s="55" t="s">
        <v>333</v>
      </c>
      <c r="AB77" s="59" t="str">
        <f t="shared" ca="1" si="6"/>
        <v>32 AÑOS</v>
      </c>
      <c r="AC77" s="60" t="s">
        <v>34</v>
      </c>
      <c r="AD77" s="60" t="s">
        <v>27</v>
      </c>
      <c r="AE77" s="60"/>
      <c r="AF77" s="61">
        <v>46023</v>
      </c>
      <c r="AG77" s="59">
        <f t="shared" ca="1" si="7"/>
        <v>0</v>
      </c>
      <c r="AH77" s="59">
        <f t="shared" ca="1" si="8"/>
        <v>0</v>
      </c>
      <c r="AI77" s="89">
        <f t="shared" ca="1" si="9"/>
        <v>29</v>
      </c>
      <c r="AJ77" s="60"/>
      <c r="AK77" s="60"/>
    </row>
    <row r="78" spans="1:37" ht="19.5" hidden="1" x14ac:dyDescent="0.3">
      <c r="A78" s="55">
        <v>292</v>
      </c>
      <c r="B78" s="55" t="s">
        <v>27</v>
      </c>
      <c r="C78" s="55" t="s">
        <v>512</v>
      </c>
      <c r="D78" s="55" t="s">
        <v>1424</v>
      </c>
      <c r="E78" s="55"/>
      <c r="F78" s="55" t="s">
        <v>28</v>
      </c>
      <c r="G78" s="55">
        <v>75162616</v>
      </c>
      <c r="H78" s="55" t="s">
        <v>1418</v>
      </c>
      <c r="I78" s="55" t="s">
        <v>196</v>
      </c>
      <c r="J78" s="55" t="s">
        <v>1419</v>
      </c>
      <c r="K78" s="56" t="str">
        <f t="shared" ref="K78" si="15">CONCATENATE(H78," ",I78," ",J78)</f>
        <v>CORDOVA  RODRIGUEZ VICTOR MANUEL</v>
      </c>
      <c r="M78" s="62">
        <v>36290</v>
      </c>
      <c r="N78" s="55">
        <v>970802636</v>
      </c>
      <c r="O78" s="122" t="s">
        <v>1420</v>
      </c>
      <c r="P78" s="87" t="s">
        <v>30</v>
      </c>
      <c r="Q78" s="55" t="s">
        <v>27</v>
      </c>
      <c r="R78" s="64" t="s">
        <v>32</v>
      </c>
      <c r="S78" s="54">
        <v>20601242659</v>
      </c>
      <c r="T78" s="55" t="s">
        <v>33</v>
      </c>
      <c r="U78" s="54" t="s">
        <v>123</v>
      </c>
      <c r="V78" s="54" t="s">
        <v>935</v>
      </c>
      <c r="W78" s="55" t="s">
        <v>1407</v>
      </c>
      <c r="X78" s="55" t="s">
        <v>1421</v>
      </c>
      <c r="Y78" s="55" t="s">
        <v>1422</v>
      </c>
      <c r="Z78" s="55" t="s">
        <v>203</v>
      </c>
      <c r="AA78" s="55" t="s">
        <v>45</v>
      </c>
      <c r="AB78" s="59" t="str">
        <f t="shared" ca="1" si="6"/>
        <v>26 AÑOS</v>
      </c>
      <c r="AC78" s="60" t="s">
        <v>34</v>
      </c>
      <c r="AD78" s="60" t="s">
        <v>27</v>
      </c>
      <c r="AE78" s="60"/>
      <c r="AF78" s="61">
        <v>46023</v>
      </c>
      <c r="AG78" s="59">
        <f t="shared" ref="AG78:AG80" ca="1" si="16">DATEDIF(AF78,TODAY(),"Y")</f>
        <v>0</v>
      </c>
      <c r="AH78" s="59">
        <f t="shared" ca="1" si="8"/>
        <v>0</v>
      </c>
      <c r="AI78" s="89">
        <f t="shared" ca="1" si="9"/>
        <v>29</v>
      </c>
      <c r="AJ78" s="60"/>
      <c r="AK78" s="60"/>
    </row>
    <row r="79" spans="1:37" ht="19.5" hidden="1" x14ac:dyDescent="0.3">
      <c r="A79" s="55">
        <v>293</v>
      </c>
      <c r="B79" s="55" t="s">
        <v>27</v>
      </c>
      <c r="C79" s="55" t="s">
        <v>512</v>
      </c>
      <c r="D79" s="55"/>
      <c r="E79" s="55"/>
      <c r="F79" s="55" t="s">
        <v>28</v>
      </c>
      <c r="G79" s="55">
        <v>72418221</v>
      </c>
      <c r="H79" s="55" t="s">
        <v>1426</v>
      </c>
      <c r="I79" s="55" t="s">
        <v>1427</v>
      </c>
      <c r="J79" s="55" t="s">
        <v>1442</v>
      </c>
      <c r="K79" s="56" t="str">
        <f>CONCATENATE(H79," ",I79," ",J79)</f>
        <v>SALCEDO LOBATO YOSVIL ESTANGLY</v>
      </c>
      <c r="M79" s="62">
        <v>34680</v>
      </c>
      <c r="N79" s="55" t="s">
        <v>1428</v>
      </c>
      <c r="O79" s="122" t="s">
        <v>1429</v>
      </c>
      <c r="P79" s="87" t="s">
        <v>30</v>
      </c>
      <c r="Q79" s="55" t="s">
        <v>27</v>
      </c>
      <c r="R79" s="64" t="s">
        <v>32</v>
      </c>
      <c r="S79" s="54">
        <v>20601242660</v>
      </c>
      <c r="T79" s="55" t="s">
        <v>33</v>
      </c>
      <c r="U79" s="54" t="s">
        <v>123</v>
      </c>
      <c r="V79" s="54" t="s">
        <v>935</v>
      </c>
      <c r="W79" s="55" t="s">
        <v>45</v>
      </c>
      <c r="X79" s="55" t="s">
        <v>1430</v>
      </c>
      <c r="Y79" s="55" t="s">
        <v>1252</v>
      </c>
      <c r="Z79" s="55" t="s">
        <v>34</v>
      </c>
      <c r="AA79" s="55" t="s">
        <v>45</v>
      </c>
      <c r="AB79" s="59" t="str">
        <f t="shared" ca="1" si="6"/>
        <v>31 AÑOS</v>
      </c>
      <c r="AC79" s="60" t="s">
        <v>111</v>
      </c>
      <c r="AD79" s="60" t="s">
        <v>27</v>
      </c>
      <c r="AE79" s="60"/>
      <c r="AF79" s="61">
        <v>46044</v>
      </c>
      <c r="AG79" s="59">
        <f t="shared" ca="1" si="16"/>
        <v>0</v>
      </c>
      <c r="AH79" s="59">
        <f t="shared" ca="1" si="8"/>
        <v>0</v>
      </c>
      <c r="AI79" s="89">
        <f t="shared" ca="1" si="9"/>
        <v>8</v>
      </c>
      <c r="AJ79" s="60"/>
      <c r="AK79" s="60"/>
    </row>
    <row r="80" spans="1:37" ht="19.5" hidden="1" x14ac:dyDescent="0.3">
      <c r="A80" s="55">
        <v>294</v>
      </c>
      <c r="B80" s="55" t="s">
        <v>27</v>
      </c>
      <c r="C80" s="55" t="s">
        <v>512</v>
      </c>
      <c r="D80" s="55"/>
      <c r="E80" s="55"/>
      <c r="F80" s="55" t="s">
        <v>28</v>
      </c>
      <c r="G80" s="55">
        <v>70366885</v>
      </c>
      <c r="H80" s="55" t="s">
        <v>1431</v>
      </c>
      <c r="I80" s="55" t="s">
        <v>150</v>
      </c>
      <c r="J80" s="55" t="s">
        <v>1432</v>
      </c>
      <c r="K80" s="56" t="str">
        <f t="shared" ref="K80" si="17">CONCATENATE(H80," ",I80," ",J80)</f>
        <v>BASILIO CASTILLO CARLOS JOAQUIN</v>
      </c>
      <c r="M80" s="62">
        <v>38103</v>
      </c>
      <c r="N80" s="55">
        <v>993204902</v>
      </c>
      <c r="O80" s="122" t="s">
        <v>1433</v>
      </c>
      <c r="P80" s="87" t="s">
        <v>30</v>
      </c>
      <c r="Q80" s="55" t="s">
        <v>27</v>
      </c>
      <c r="R80" s="64" t="s">
        <v>32</v>
      </c>
      <c r="S80" s="54">
        <v>20601242661</v>
      </c>
      <c r="T80" s="55" t="s">
        <v>33</v>
      </c>
      <c r="U80" s="54" t="s">
        <v>123</v>
      </c>
      <c r="V80" s="54" t="s">
        <v>935</v>
      </c>
      <c r="W80" s="55" t="s">
        <v>1407</v>
      </c>
      <c r="X80" s="55" t="s">
        <v>1434</v>
      </c>
      <c r="Y80" s="55" t="s">
        <v>34</v>
      </c>
      <c r="Z80" s="55" t="s">
        <v>34</v>
      </c>
      <c r="AA80" s="55" t="s">
        <v>45</v>
      </c>
      <c r="AB80" s="59" t="str">
        <f t="shared" ca="1" si="6"/>
        <v>21 AÑOS</v>
      </c>
      <c r="AC80" s="60" t="s">
        <v>34</v>
      </c>
      <c r="AD80" s="60" t="s">
        <v>27</v>
      </c>
      <c r="AE80" s="60"/>
      <c r="AF80" s="61">
        <v>46044</v>
      </c>
      <c r="AG80" s="59">
        <f t="shared" ca="1" si="16"/>
        <v>0</v>
      </c>
      <c r="AH80" s="59">
        <f t="shared" ca="1" si="8"/>
        <v>0</v>
      </c>
      <c r="AI80" s="89">
        <f t="shared" ca="1" si="9"/>
        <v>8</v>
      </c>
      <c r="AJ80" s="60"/>
      <c r="AK80" s="60"/>
    </row>
    <row r="83" spans="7:7" ht="15" x14ac:dyDescent="0.2">
      <c r="G83" s="134"/>
    </row>
  </sheetData>
  <autoFilter ref="A5:AHN80" xr:uid="{00000000-0001-0000-0000-000000000000}">
    <filterColumn colId="10">
      <filters>
        <filter val="DE LA CRUZ VARGAS PEDRO"/>
        <filter val="LINARES BLONDET LUIS II"/>
        <filter val="NARRO BRINGAS CESAR CARLOS"/>
        <filter val="ROJAS  GUERRERO HILDEBRANDO"/>
        <filter val="ROJAS ABAD BRYAN DENNIS"/>
        <filter val="TERAN  REVILLA NORBERTO"/>
        <filter val="TINCO GUTIERREZ ANTONIO"/>
        <filter val="VALDIVIEZO OLIVERA LUIS EDUARDO"/>
      </filters>
    </filterColumn>
    <filterColumn colId="32" showButton="0"/>
    <filterColumn colId="33" showButton="0"/>
  </autoFilter>
  <mergeCells count="5">
    <mergeCell ref="AG5:AI5"/>
    <mergeCell ref="AB4:AE4"/>
    <mergeCell ref="A6:B6"/>
    <mergeCell ref="A12:B12"/>
    <mergeCell ref="A14:B14"/>
  </mergeCells>
  <phoneticPr fontId="8" type="noConversion"/>
  <conditionalFormatting sqref="G7">
    <cfRule type="duplicateValues" dxfId="759" priority="2281"/>
    <cfRule type="duplicateValues" dxfId="758" priority="2282"/>
    <cfRule type="duplicateValues" dxfId="757" priority="2283"/>
    <cfRule type="duplicateValues" dxfId="756" priority="2284"/>
    <cfRule type="duplicateValues" dxfId="755" priority="2285"/>
  </conditionalFormatting>
  <conditionalFormatting sqref="G8:G10">
    <cfRule type="duplicateValues" dxfId="754" priority="2325"/>
    <cfRule type="duplicateValues" dxfId="753" priority="2324"/>
    <cfRule type="duplicateValues" dxfId="752" priority="2323"/>
    <cfRule type="duplicateValues" dxfId="751" priority="2322"/>
    <cfRule type="duplicateValues" dxfId="750" priority="2321"/>
  </conditionalFormatting>
  <conditionalFormatting sqref="G11 G23:G27 G29 G31:G80">
    <cfRule type="duplicateValues" dxfId="749" priority="2360"/>
    <cfRule type="duplicateValues" dxfId="748" priority="2359"/>
    <cfRule type="duplicateValues" dxfId="747" priority="2358"/>
    <cfRule type="duplicateValues" dxfId="746" priority="2357"/>
    <cfRule type="duplicateValues" dxfId="745" priority="2356"/>
  </conditionalFormatting>
  <conditionalFormatting sqref="G13">
    <cfRule type="duplicateValues" dxfId="744" priority="42"/>
    <cfRule type="duplicateValues" dxfId="743" priority="43"/>
    <cfRule type="duplicateValues" dxfId="742" priority="44"/>
    <cfRule type="duplicateValues" dxfId="741" priority="45"/>
    <cfRule type="duplicateValues" dxfId="740" priority="41"/>
  </conditionalFormatting>
  <conditionalFormatting sqref="G20:G21">
    <cfRule type="duplicateValues" dxfId="739" priority="1000"/>
    <cfRule type="duplicateValues" dxfId="738" priority="1004"/>
    <cfRule type="duplicateValues" dxfId="737" priority="1003"/>
    <cfRule type="duplicateValues" dxfId="736" priority="1002"/>
    <cfRule type="duplicateValues" dxfId="735" priority="1001"/>
  </conditionalFormatting>
  <conditionalFormatting sqref="G22 G19 G15">
    <cfRule type="duplicateValues" dxfId="734" priority="2307"/>
    <cfRule type="duplicateValues" dxfId="733" priority="2308"/>
    <cfRule type="duplicateValues" dxfId="732" priority="2309"/>
    <cfRule type="duplicateValues" dxfId="731" priority="2310"/>
    <cfRule type="duplicateValues" dxfId="730" priority="2306"/>
  </conditionalFormatting>
  <conditionalFormatting sqref="G28 G18">
    <cfRule type="duplicateValues" dxfId="729" priority="1910"/>
    <cfRule type="duplicateValues" dxfId="728" priority="1909"/>
    <cfRule type="duplicateValues" dxfId="727" priority="1908"/>
    <cfRule type="duplicateValues" dxfId="726" priority="1907"/>
    <cfRule type="duplicateValues" dxfId="725" priority="1906"/>
  </conditionalFormatting>
  <conditionalFormatting sqref="G30 G16:G17">
    <cfRule type="duplicateValues" dxfId="724" priority="2326"/>
    <cfRule type="duplicateValues" dxfId="723" priority="2327"/>
    <cfRule type="duplicateValues" dxfId="722" priority="2328"/>
    <cfRule type="duplicateValues" dxfId="721" priority="2329"/>
    <cfRule type="duplicateValues" dxfId="720" priority="2330"/>
  </conditionalFormatting>
  <hyperlinks>
    <hyperlink ref="O7" r:id="rId1" xr:uid="{00000000-0004-0000-0000-000003000000}"/>
    <hyperlink ref="O11" r:id="rId2" xr:uid="{159E5A72-B7AB-4681-8DC9-C3F94B9FFA16}"/>
    <hyperlink ref="O34" r:id="rId3" xr:uid="{0E8C4867-17E6-4A8A-AEC0-3FB8BA8D4919}"/>
    <hyperlink ref="O45" r:id="rId4" xr:uid="{7B6B975A-FCB8-4CB7-AF4F-BC8E25902C3F}"/>
    <hyperlink ref="O46" r:id="rId5" xr:uid="{F751E084-0D77-4E29-B483-6BE82D463D0F}"/>
    <hyperlink ref="O47" r:id="rId6" xr:uid="{CC737779-6609-40CF-9A08-AFEDF371F185}"/>
    <hyperlink ref="O48" r:id="rId7" xr:uid="{03C4EC59-351C-4698-960A-63794DCE89CA}"/>
    <hyperlink ref="O49" r:id="rId8" xr:uid="{C910CFAB-2420-46E8-887E-2EF30AA5473D}"/>
    <hyperlink ref="O50" r:id="rId9" xr:uid="{AFF12B3D-5469-4D84-89AE-C61BA7335517}"/>
    <hyperlink ref="O52" r:id="rId10" xr:uid="{54897B61-FE8F-445F-BE49-B162B9540755}"/>
    <hyperlink ref="O51" r:id="rId11" xr:uid="{E6F97589-530A-4C28-B566-93D129754D00}"/>
    <hyperlink ref="O53" r:id="rId12" xr:uid="{B81DF929-DEE9-46B1-90D3-F89A8356EB93}"/>
    <hyperlink ref="O54" r:id="rId13" xr:uid="{F5FE33A7-377F-48A3-AA97-D68066E5A461}"/>
    <hyperlink ref="O56" r:id="rId14" xr:uid="{D38794BD-E9F4-4C8D-AB8B-4D07ECA6E7CF}"/>
    <hyperlink ref="O55" r:id="rId15" xr:uid="{E0AED6A4-E5EE-49DB-BEED-AA1A4043731E}"/>
    <hyperlink ref="O10" r:id="rId16" xr:uid="{6383347A-DB87-451D-860A-E7EF982BAB2D}"/>
    <hyperlink ref="O58" r:id="rId17" xr:uid="{832000A2-7C5C-4F1D-80D2-32D40C70692A}"/>
    <hyperlink ref="O57" r:id="rId18" xr:uid="{B30A084A-327B-4E07-B955-BB926EC53C68}"/>
    <hyperlink ref="O59" r:id="rId19" xr:uid="{59FB8E84-DE06-4F43-A038-9A341E8C4334}"/>
    <hyperlink ref="O60" r:id="rId20" xr:uid="{621ECA18-E265-4695-BF4B-B7C8D55BF443}"/>
    <hyperlink ref="O61" r:id="rId21" xr:uid="{063B508A-F553-4C49-BFA8-A6AE272E362A}"/>
    <hyperlink ref="O62" r:id="rId22" xr:uid="{AA44FD8D-473D-4B94-B5AB-FB29DFD5A8F2}"/>
    <hyperlink ref="O63" r:id="rId23" xr:uid="{D931C36A-BABB-42B4-81F1-5CDEAA3A61E1}"/>
    <hyperlink ref="O64" r:id="rId24" xr:uid="{48D8B74F-F12B-483C-9801-EF1CF0DD7DE5}"/>
    <hyperlink ref="O66" r:id="rId25" xr:uid="{3DC7EBDA-399F-4051-ABA2-A56E9EAE46EE}"/>
    <hyperlink ref="O65" r:id="rId26" xr:uid="{0B2F9DE9-A692-4F31-B49D-7AFEC0C7B9F8}"/>
    <hyperlink ref="O41" r:id="rId27" xr:uid="{CEB8DDDE-665B-4102-9853-EDAD6C85B606}"/>
    <hyperlink ref="O43" r:id="rId28" xr:uid="{50D122B8-6814-4D50-873D-C79E23943C4A}"/>
    <hyperlink ref="O44" r:id="rId29" xr:uid="{D71604E2-4754-45C4-873E-365DB68B3FD0}"/>
    <hyperlink ref="O67" r:id="rId30" xr:uid="{52AD3913-41A8-4DF7-A85D-14CBF1764E55}"/>
    <hyperlink ref="O70" r:id="rId31" xr:uid="{2BE8B3C7-483A-498A-8CBF-DAEDBB7671C2}"/>
    <hyperlink ref="O23" r:id="rId32" xr:uid="{3A935B9E-3816-4731-865E-4E1A836EF4EC}"/>
    <hyperlink ref="O73" r:id="rId33" xr:uid="{9C817636-F28D-43B3-898E-D15FCC377134}"/>
    <hyperlink ref="O77" r:id="rId34" xr:uid="{2F4DAE48-035C-4629-AB9E-828FC6082FAF}"/>
    <hyperlink ref="O78" r:id="rId35" xr:uid="{73227B0A-A1CC-4180-A06B-692E3CE6EE80}"/>
    <hyperlink ref="O79" r:id="rId36" xr:uid="{99CA40AB-ED04-D645-A20F-FE04331F9719}"/>
  </hyperlinks>
  <pageMargins left="0.27" right="0.2" top="0.75" bottom="0.75" header="0.3" footer="0.3"/>
  <pageSetup paperSize="257" scale="20" orientation="landscape" horizontalDpi="300" verticalDpi="300" r:id="rId37"/>
  <legacy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BAEE-082B-42CE-8269-685EA2C3003B}">
  <sheetPr filterMode="1">
    <tabColor rgb="FFFF0000"/>
  </sheetPr>
  <dimension ref="A3:AHN196"/>
  <sheetViews>
    <sheetView workbookViewId="0">
      <pane ySplit="4" topLeftCell="A14" activePane="bottomLeft" state="frozen"/>
      <selection activeCell="F1" sqref="F1"/>
      <selection pane="bottomLeft" activeCell="K202" sqref="K202"/>
    </sheetView>
  </sheetViews>
  <sheetFormatPr baseColWidth="10" defaultRowHeight="15" x14ac:dyDescent="0.25"/>
  <cols>
    <col min="1" max="1" width="6.85546875" customWidth="1"/>
    <col min="2" max="2" width="10.28515625" customWidth="1"/>
    <col min="3" max="3" width="12.7109375" customWidth="1"/>
    <col min="4" max="4" width="13.28515625" bestFit="1" customWidth="1"/>
    <col min="5" max="5" width="19.85546875" bestFit="1" customWidth="1"/>
    <col min="8" max="8" width="16.42578125" bestFit="1" customWidth="1"/>
    <col min="9" max="9" width="16.28515625" bestFit="1" customWidth="1"/>
    <col min="10" max="10" width="24.42578125" bestFit="1" customWidth="1"/>
    <col min="11" max="11" width="42.42578125" bestFit="1" customWidth="1"/>
    <col min="12" max="12" width="12.42578125" hidden="1" customWidth="1"/>
    <col min="13" max="13" width="15.28515625" hidden="1" customWidth="1"/>
    <col min="14" max="14" width="20" bestFit="1" customWidth="1"/>
    <col min="15" max="15" width="48.140625" customWidth="1"/>
    <col min="16" max="16" width="32.42578125" customWidth="1"/>
    <col min="17" max="17" width="13.42578125" customWidth="1"/>
    <col min="18" max="18" width="81.7109375" customWidth="1"/>
    <col min="19" max="19" width="17.140625" customWidth="1"/>
    <col min="20" max="20" width="14.42578125" customWidth="1"/>
    <col min="21" max="21" width="31.85546875" customWidth="1"/>
    <col min="22" max="22" width="34.42578125" customWidth="1"/>
    <col min="23" max="23" width="16.28515625" customWidth="1"/>
    <col min="24" max="24" width="63.140625" customWidth="1"/>
    <col min="25" max="25" width="21.28515625" customWidth="1"/>
    <col min="26" max="26" width="19.140625" customWidth="1"/>
    <col min="27" max="27" width="22.28515625" customWidth="1"/>
    <col min="28" max="28" width="11" customWidth="1"/>
    <col min="29" max="29" width="15.28515625" customWidth="1"/>
    <col min="30" max="30" width="33" customWidth="1"/>
    <col min="31" max="31" width="17.42578125" customWidth="1"/>
    <col min="32" max="32" width="11.85546875" customWidth="1"/>
    <col min="33" max="35" width="10.85546875" customWidth="1"/>
    <col min="36" max="36" width="20" bestFit="1" customWidth="1"/>
    <col min="37" max="37" width="28.140625" customWidth="1"/>
  </cols>
  <sheetData>
    <row r="3" spans="1:706" s="1" customFormat="1" ht="33.75" x14ac:dyDescent="0.5">
      <c r="H3" s="148" t="s">
        <v>475</v>
      </c>
      <c r="I3" s="148"/>
      <c r="J3" s="148"/>
      <c r="K3" s="148"/>
      <c r="R3" s="43"/>
      <c r="Y3" s="4"/>
      <c r="Z3" s="3"/>
      <c r="AA3" s="3"/>
    </row>
    <row r="4" spans="1:706" s="1" customFormat="1" ht="54" customHeight="1" x14ac:dyDescent="0.2">
      <c r="A4" s="2" t="s">
        <v>0</v>
      </c>
      <c r="B4" s="70" t="s">
        <v>1</v>
      </c>
      <c r="C4" s="70" t="s">
        <v>511</v>
      </c>
      <c r="D4" s="67" t="s">
        <v>2</v>
      </c>
      <c r="E4" s="68" t="s">
        <v>513</v>
      </c>
      <c r="F4" s="68" t="s">
        <v>3</v>
      </c>
      <c r="G4" s="69" t="s">
        <v>4</v>
      </c>
      <c r="H4" s="69" t="s">
        <v>5</v>
      </c>
      <c r="I4" s="69" t="s">
        <v>6</v>
      </c>
      <c r="J4" s="70" t="s">
        <v>7</v>
      </c>
      <c r="K4" s="83" t="s">
        <v>8</v>
      </c>
      <c r="L4" s="70" t="s">
        <v>9</v>
      </c>
      <c r="M4" s="69" t="s">
        <v>10</v>
      </c>
      <c r="N4" s="70" t="s">
        <v>11</v>
      </c>
      <c r="O4" s="70" t="s">
        <v>12</v>
      </c>
      <c r="P4" s="70" t="s">
        <v>13</v>
      </c>
      <c r="Q4" s="70" t="s">
        <v>14</v>
      </c>
      <c r="R4" s="69" t="s">
        <v>15</v>
      </c>
      <c r="S4" s="69" t="s">
        <v>16</v>
      </c>
      <c r="T4" s="69" t="s">
        <v>17</v>
      </c>
      <c r="U4" s="69" t="s">
        <v>18</v>
      </c>
      <c r="V4" s="70" t="s">
        <v>19</v>
      </c>
      <c r="W4" s="70" t="s">
        <v>20</v>
      </c>
      <c r="X4" s="69" t="s">
        <v>21</v>
      </c>
      <c r="Y4" s="70" t="s">
        <v>22</v>
      </c>
      <c r="Z4" s="70" t="s">
        <v>23</v>
      </c>
      <c r="AA4" s="66" t="s">
        <v>24</v>
      </c>
      <c r="AB4" s="53" t="s">
        <v>25</v>
      </c>
      <c r="AC4" s="53" t="s">
        <v>26</v>
      </c>
      <c r="AD4" s="84" t="s">
        <v>875</v>
      </c>
      <c r="AE4" s="84" t="s">
        <v>514</v>
      </c>
      <c r="AF4" s="84" t="s">
        <v>477</v>
      </c>
      <c r="AG4" s="149" t="s">
        <v>882</v>
      </c>
      <c r="AH4" s="150"/>
      <c r="AI4" s="151"/>
      <c r="AJ4" s="84" t="s">
        <v>478</v>
      </c>
      <c r="AK4" s="84" t="s">
        <v>476</v>
      </c>
    </row>
    <row r="5" spans="1:706" s="28" customFormat="1" hidden="1" x14ac:dyDescent="0.25">
      <c r="A5" s="20">
        <v>1</v>
      </c>
      <c r="B5" s="20" t="s">
        <v>27</v>
      </c>
      <c r="C5" s="20" t="s">
        <v>512</v>
      </c>
      <c r="D5" s="20" t="s">
        <v>120</v>
      </c>
      <c r="E5" s="21"/>
      <c r="F5" s="20" t="s">
        <v>28</v>
      </c>
      <c r="G5" s="20" t="s">
        <v>121</v>
      </c>
      <c r="H5" s="20" t="s">
        <v>117</v>
      </c>
      <c r="I5" s="20" t="s">
        <v>118</v>
      </c>
      <c r="J5" s="20" t="s">
        <v>119</v>
      </c>
      <c r="K5" s="22" t="str">
        <f>CONCATENATE(H5," ",I5," ",J5)</f>
        <v>MAYTA PACHECO ERICK ANTHONY</v>
      </c>
      <c r="L5" s="20" t="s">
        <v>29</v>
      </c>
      <c r="M5" s="21">
        <v>30695</v>
      </c>
      <c r="N5" s="20">
        <v>987782404</v>
      </c>
      <c r="O5" s="20" t="s">
        <v>122</v>
      </c>
      <c r="P5" s="20" t="s">
        <v>30</v>
      </c>
      <c r="Q5" s="20" t="s">
        <v>27</v>
      </c>
      <c r="R5" s="25" t="s">
        <v>32</v>
      </c>
      <c r="S5" s="20">
        <v>20601242657</v>
      </c>
      <c r="T5" s="20" t="s">
        <v>33</v>
      </c>
      <c r="U5" s="20" t="s">
        <v>123</v>
      </c>
      <c r="V5" s="20" t="s">
        <v>124</v>
      </c>
      <c r="W5" s="20" t="s">
        <v>31</v>
      </c>
      <c r="X5" s="26" t="s">
        <v>125</v>
      </c>
      <c r="Y5" s="26" t="s">
        <v>31</v>
      </c>
      <c r="Z5" s="26" t="s">
        <v>31</v>
      </c>
      <c r="AA5" s="26" t="s">
        <v>31</v>
      </c>
      <c r="AB5" s="26">
        <v>37</v>
      </c>
      <c r="AC5" s="27" t="s">
        <v>111</v>
      </c>
      <c r="AD5" s="27" t="s">
        <v>27</v>
      </c>
      <c r="AE5" s="27"/>
      <c r="AF5" s="45">
        <v>44253</v>
      </c>
      <c r="AG5" s="45"/>
      <c r="AH5" s="45"/>
      <c r="AI5" s="45"/>
      <c r="AJ5" s="27"/>
      <c r="AK5" s="27"/>
    </row>
    <row r="6" spans="1:706" s="28" customFormat="1" hidden="1" x14ac:dyDescent="0.25">
      <c r="A6" s="20">
        <v>3</v>
      </c>
      <c r="B6" s="20" t="s">
        <v>27</v>
      </c>
      <c r="C6" s="20" t="s">
        <v>512</v>
      </c>
      <c r="D6" s="20" t="s">
        <v>163</v>
      </c>
      <c r="E6" s="20"/>
      <c r="F6" s="20" t="s">
        <v>28</v>
      </c>
      <c r="G6" s="20" t="s">
        <v>116</v>
      </c>
      <c r="H6" s="20" t="s">
        <v>129</v>
      </c>
      <c r="I6" s="20" t="s">
        <v>70</v>
      </c>
      <c r="J6" s="20" t="s">
        <v>130</v>
      </c>
      <c r="K6" s="22" t="str">
        <f>CONCATENATE(H6," ",I6," ",J6)</f>
        <v>VERAMENDI FLORES ROBERTO GERMAN</v>
      </c>
      <c r="L6" s="20" t="s">
        <v>29</v>
      </c>
      <c r="M6" s="21">
        <v>23493</v>
      </c>
      <c r="N6" s="20">
        <v>987782404</v>
      </c>
      <c r="O6" s="30" t="s">
        <v>233</v>
      </c>
      <c r="P6" s="20" t="s">
        <v>30</v>
      </c>
      <c r="Q6" s="20" t="s">
        <v>27</v>
      </c>
      <c r="R6" s="25" t="s">
        <v>32</v>
      </c>
      <c r="S6" s="20">
        <v>20601242657</v>
      </c>
      <c r="T6" s="20" t="s">
        <v>33</v>
      </c>
      <c r="U6" s="20" t="s">
        <v>123</v>
      </c>
      <c r="V6" s="20" t="s">
        <v>124</v>
      </c>
      <c r="W6" s="20" t="s">
        <v>37</v>
      </c>
      <c r="X6" s="26" t="s">
        <v>480</v>
      </c>
      <c r="Y6" s="26" t="s">
        <v>43</v>
      </c>
      <c r="Z6" s="26" t="s">
        <v>37</v>
      </c>
      <c r="AA6" s="26" t="s">
        <v>37</v>
      </c>
      <c r="AB6" s="26">
        <v>57</v>
      </c>
      <c r="AC6" s="27" t="s">
        <v>34</v>
      </c>
      <c r="AD6" s="27" t="s">
        <v>27</v>
      </c>
      <c r="AE6" s="27"/>
      <c r="AF6" s="45">
        <v>44258</v>
      </c>
      <c r="AG6" s="45"/>
      <c r="AH6" s="45"/>
      <c r="AI6" s="45"/>
      <c r="AJ6" s="27"/>
      <c r="AK6" s="27"/>
    </row>
    <row r="7" spans="1:706" s="28" customFormat="1" hidden="1" x14ac:dyDescent="0.25">
      <c r="A7" s="20">
        <v>4</v>
      </c>
      <c r="B7" s="20" t="s">
        <v>27</v>
      </c>
      <c r="C7" s="20" t="s">
        <v>512</v>
      </c>
      <c r="D7" s="20" t="s">
        <v>228</v>
      </c>
      <c r="E7" s="20"/>
      <c r="F7" s="20" t="s">
        <v>28</v>
      </c>
      <c r="G7" s="20">
        <v>73772552</v>
      </c>
      <c r="H7" s="20" t="s">
        <v>75</v>
      </c>
      <c r="I7" s="20" t="s">
        <v>76</v>
      </c>
      <c r="J7" s="20" t="s">
        <v>77</v>
      </c>
      <c r="K7" s="22" t="str">
        <f t="shared" ref="K7:K26" si="0">CONCATENATE(H7," ",I7," ",J7)</f>
        <v>BOCANEGRA MIRANDA AYLTHON ELMAN</v>
      </c>
      <c r="L7" s="20" t="s">
        <v>29</v>
      </c>
      <c r="M7" s="21">
        <v>35618</v>
      </c>
      <c r="N7" s="20">
        <v>955662120</v>
      </c>
      <c r="O7" s="30" t="s">
        <v>302</v>
      </c>
      <c r="P7" s="20" t="s">
        <v>30</v>
      </c>
      <c r="Q7" s="20" t="s">
        <v>27</v>
      </c>
      <c r="R7" s="25" t="s">
        <v>32</v>
      </c>
      <c r="S7" s="20">
        <v>20601242662</v>
      </c>
      <c r="T7" s="20" t="s">
        <v>33</v>
      </c>
      <c r="U7" s="20" t="s">
        <v>123</v>
      </c>
      <c r="V7" s="20" t="s">
        <v>78</v>
      </c>
      <c r="W7" s="20" t="s">
        <v>34</v>
      </c>
      <c r="X7" s="26" t="s">
        <v>284</v>
      </c>
      <c r="Y7" s="26" t="s">
        <v>34</v>
      </c>
      <c r="Z7" s="26" t="s">
        <v>34</v>
      </c>
      <c r="AA7" s="26" t="s">
        <v>45</v>
      </c>
      <c r="AB7" s="26">
        <v>23</v>
      </c>
      <c r="AC7" s="27" t="s">
        <v>36</v>
      </c>
      <c r="AD7" s="27" t="s">
        <v>34</v>
      </c>
      <c r="AE7" s="27"/>
      <c r="AF7" s="27"/>
      <c r="AG7" s="27"/>
      <c r="AH7" s="27"/>
      <c r="AI7" s="27"/>
      <c r="AJ7" s="27"/>
      <c r="AK7" s="27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</row>
    <row r="8" spans="1:706" s="28" customFormat="1" hidden="1" x14ac:dyDescent="0.25">
      <c r="A8" s="20">
        <v>10</v>
      </c>
      <c r="B8" s="20" t="s">
        <v>27</v>
      </c>
      <c r="C8" s="20" t="s">
        <v>512</v>
      </c>
      <c r="D8" s="20" t="s">
        <v>168</v>
      </c>
      <c r="E8" s="20"/>
      <c r="F8" s="20" t="s">
        <v>28</v>
      </c>
      <c r="G8" s="20">
        <v>71832253</v>
      </c>
      <c r="H8" s="20" t="s">
        <v>140</v>
      </c>
      <c r="I8" s="20" t="s">
        <v>141</v>
      </c>
      <c r="J8" s="20" t="s">
        <v>142</v>
      </c>
      <c r="K8" s="22" t="str">
        <f t="shared" si="0"/>
        <v>COLORADO ESCOBAL RONALDINI</v>
      </c>
      <c r="L8" s="20" t="s">
        <v>29</v>
      </c>
      <c r="M8" s="21">
        <v>36291</v>
      </c>
      <c r="N8" s="20">
        <v>997154038</v>
      </c>
      <c r="O8" s="24" t="s">
        <v>232</v>
      </c>
      <c r="P8" s="20" t="s">
        <v>30</v>
      </c>
      <c r="Q8" s="20" t="s">
        <v>27</v>
      </c>
      <c r="R8" s="25" t="s">
        <v>32</v>
      </c>
      <c r="S8" s="20">
        <v>20601242662</v>
      </c>
      <c r="T8" s="20" t="s">
        <v>33</v>
      </c>
      <c r="U8" s="20" t="s">
        <v>123</v>
      </c>
      <c r="V8" s="20" t="s">
        <v>147</v>
      </c>
      <c r="W8" s="20" t="s">
        <v>31</v>
      </c>
      <c r="X8" s="26" t="s">
        <v>152</v>
      </c>
      <c r="Y8" s="26" t="s">
        <v>31</v>
      </c>
      <c r="Z8" s="26" t="s">
        <v>31</v>
      </c>
      <c r="AA8" s="26" t="s">
        <v>31</v>
      </c>
      <c r="AB8" s="26">
        <v>21</v>
      </c>
      <c r="AC8" s="27" t="s">
        <v>36</v>
      </c>
      <c r="AD8" s="27" t="s">
        <v>34</v>
      </c>
      <c r="AE8" s="27"/>
      <c r="AF8" s="27"/>
      <c r="AG8" s="27"/>
      <c r="AH8" s="27"/>
      <c r="AI8" s="27"/>
      <c r="AJ8" s="27"/>
      <c r="AK8" s="27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</row>
    <row r="9" spans="1:706" s="28" customFormat="1" hidden="1" x14ac:dyDescent="0.25">
      <c r="A9" s="20">
        <v>11</v>
      </c>
      <c r="B9" s="20" t="s">
        <v>27</v>
      </c>
      <c r="C9" s="20" t="s">
        <v>512</v>
      </c>
      <c r="D9" s="20" t="s">
        <v>105</v>
      </c>
      <c r="E9" s="20"/>
      <c r="F9" s="20" t="s">
        <v>28</v>
      </c>
      <c r="G9" s="20" t="s">
        <v>106</v>
      </c>
      <c r="H9" s="20" t="s">
        <v>107</v>
      </c>
      <c r="I9" s="20" t="s">
        <v>35</v>
      </c>
      <c r="J9" s="20" t="s">
        <v>108</v>
      </c>
      <c r="K9" s="22" t="str">
        <f t="shared" si="0"/>
        <v>CUEVA  CUEVA LUIS</v>
      </c>
      <c r="L9" s="20" t="s">
        <v>29</v>
      </c>
      <c r="M9" s="21">
        <v>28744</v>
      </c>
      <c r="N9" s="20">
        <v>976563836</v>
      </c>
      <c r="O9" s="24" t="s">
        <v>232</v>
      </c>
      <c r="P9" s="20" t="s">
        <v>30</v>
      </c>
      <c r="Q9" s="20" t="s">
        <v>27</v>
      </c>
      <c r="R9" s="25" t="s">
        <v>32</v>
      </c>
      <c r="S9" s="20">
        <v>20601242657</v>
      </c>
      <c r="T9" s="20" t="s">
        <v>33</v>
      </c>
      <c r="U9" s="20" t="s">
        <v>123</v>
      </c>
      <c r="V9" s="20" t="s">
        <v>109</v>
      </c>
      <c r="W9" s="20" t="s">
        <v>31</v>
      </c>
      <c r="X9" s="26" t="s">
        <v>110</v>
      </c>
      <c r="Y9" s="26" t="s">
        <v>31</v>
      </c>
      <c r="Z9" s="26" t="s">
        <v>31</v>
      </c>
      <c r="AA9" s="26" t="s">
        <v>31</v>
      </c>
      <c r="AB9" s="26">
        <v>42</v>
      </c>
      <c r="AC9" s="27" t="s">
        <v>36</v>
      </c>
      <c r="AD9" s="27" t="s">
        <v>34</v>
      </c>
      <c r="AE9" s="27"/>
      <c r="AF9" s="27"/>
      <c r="AG9" s="27"/>
      <c r="AH9" s="27"/>
      <c r="AI9" s="27"/>
      <c r="AJ9" s="27"/>
      <c r="AK9" s="27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</row>
    <row r="10" spans="1:706" s="28" customFormat="1" hidden="1" x14ac:dyDescent="0.25">
      <c r="A10" s="20">
        <v>12</v>
      </c>
      <c r="B10" s="20" t="s">
        <v>27</v>
      </c>
      <c r="C10" s="20" t="s">
        <v>512</v>
      </c>
      <c r="D10" s="20" t="s">
        <v>112</v>
      </c>
      <c r="E10" s="20"/>
      <c r="F10" s="20" t="s">
        <v>28</v>
      </c>
      <c r="G10" s="20" t="s">
        <v>113</v>
      </c>
      <c r="H10" s="20" t="s">
        <v>107</v>
      </c>
      <c r="I10" s="20" t="s">
        <v>114</v>
      </c>
      <c r="J10" s="20" t="s">
        <v>115</v>
      </c>
      <c r="K10" s="22" t="str">
        <f t="shared" si="0"/>
        <v>CUEVA  HAUMAN WILMER LUIS</v>
      </c>
      <c r="L10" s="20" t="s">
        <v>29</v>
      </c>
      <c r="M10" s="21">
        <v>36144</v>
      </c>
      <c r="N10" s="20">
        <v>950526271</v>
      </c>
      <c r="O10" s="24" t="s">
        <v>232</v>
      </c>
      <c r="P10" s="20" t="s">
        <v>30</v>
      </c>
      <c r="Q10" s="20" t="s">
        <v>27</v>
      </c>
      <c r="R10" s="25" t="s">
        <v>32</v>
      </c>
      <c r="S10" s="20">
        <v>20601242657</v>
      </c>
      <c r="T10" s="20" t="s">
        <v>33</v>
      </c>
      <c r="U10" s="20" t="s">
        <v>123</v>
      </c>
      <c r="V10" s="20" t="s">
        <v>147</v>
      </c>
      <c r="W10" s="20" t="s">
        <v>31</v>
      </c>
      <c r="X10" s="26" t="s">
        <v>110</v>
      </c>
      <c r="Y10" s="26" t="s">
        <v>31</v>
      </c>
      <c r="Z10" s="26" t="s">
        <v>31</v>
      </c>
      <c r="AA10" s="26" t="s">
        <v>31</v>
      </c>
      <c r="AB10" s="26">
        <v>22</v>
      </c>
      <c r="AC10" s="27" t="s">
        <v>36</v>
      </c>
      <c r="AD10" s="27" t="s">
        <v>34</v>
      </c>
      <c r="AE10" s="27"/>
      <c r="AF10" s="27"/>
      <c r="AG10" s="27"/>
      <c r="AH10" s="27"/>
      <c r="AI10" s="27"/>
      <c r="AJ10" s="27"/>
      <c r="AK10" s="27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</row>
    <row r="11" spans="1:706" s="28" customFormat="1" hidden="1" x14ac:dyDescent="0.25">
      <c r="A11" s="20">
        <v>13</v>
      </c>
      <c r="B11" s="20" t="s">
        <v>27</v>
      </c>
      <c r="C11" s="20" t="s">
        <v>512</v>
      </c>
      <c r="D11" s="20" t="s">
        <v>169</v>
      </c>
      <c r="E11" s="20"/>
      <c r="F11" s="20" t="s">
        <v>28</v>
      </c>
      <c r="G11" s="20">
        <v>80626308</v>
      </c>
      <c r="H11" s="20" t="s">
        <v>35</v>
      </c>
      <c r="I11" s="20" t="s">
        <v>89</v>
      </c>
      <c r="J11" s="20" t="s">
        <v>90</v>
      </c>
      <c r="K11" s="22" t="str">
        <f t="shared" si="0"/>
        <v>CUEVA ISPILCO JOSE ELIGIO</v>
      </c>
      <c r="L11" s="20" t="s">
        <v>29</v>
      </c>
      <c r="M11" s="21">
        <v>28827</v>
      </c>
      <c r="N11" s="20">
        <v>976500940</v>
      </c>
      <c r="O11" s="24" t="s">
        <v>232</v>
      </c>
      <c r="P11" s="20" t="s">
        <v>30</v>
      </c>
      <c r="Q11" s="20" t="s">
        <v>27</v>
      </c>
      <c r="R11" s="25" t="s">
        <v>32</v>
      </c>
      <c r="S11" s="20">
        <v>20601242657</v>
      </c>
      <c r="T11" s="20" t="s">
        <v>33</v>
      </c>
      <c r="U11" s="20" t="s">
        <v>123</v>
      </c>
      <c r="V11" s="20" t="s">
        <v>50</v>
      </c>
      <c r="W11" s="20" t="s">
        <v>31</v>
      </c>
      <c r="X11" s="26" t="s">
        <v>207</v>
      </c>
      <c r="Y11" s="26" t="s">
        <v>31</v>
      </c>
      <c r="Z11" s="26" t="s">
        <v>31</v>
      </c>
      <c r="AA11" s="26" t="s">
        <v>31</v>
      </c>
      <c r="AB11" s="26">
        <v>42</v>
      </c>
      <c r="AC11" s="27" t="s">
        <v>36</v>
      </c>
      <c r="AD11" s="27" t="s">
        <v>34</v>
      </c>
      <c r="AE11" s="27"/>
      <c r="AF11" s="27"/>
      <c r="AG11" s="27"/>
      <c r="AH11" s="27"/>
      <c r="AI11" s="27"/>
      <c r="AJ11" s="27"/>
      <c r="AK11" s="27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</row>
    <row r="12" spans="1:706" s="28" customFormat="1" hidden="1" x14ac:dyDescent="0.25">
      <c r="A12" s="20">
        <v>14</v>
      </c>
      <c r="B12" s="20" t="s">
        <v>27</v>
      </c>
      <c r="C12" s="20" t="s">
        <v>512</v>
      </c>
      <c r="D12" s="20" t="s">
        <v>170</v>
      </c>
      <c r="E12" s="20"/>
      <c r="F12" s="20" t="s">
        <v>28</v>
      </c>
      <c r="G12" s="20">
        <v>46973132</v>
      </c>
      <c r="H12" s="20" t="s">
        <v>91</v>
      </c>
      <c r="I12" s="20" t="s">
        <v>91</v>
      </c>
      <c r="J12" s="20" t="s">
        <v>92</v>
      </c>
      <c r="K12" s="22" t="str">
        <f t="shared" si="0"/>
        <v>INFANTE INFANTE NESTOR</v>
      </c>
      <c r="L12" s="20" t="s">
        <v>29</v>
      </c>
      <c r="M12" s="21">
        <v>33546</v>
      </c>
      <c r="N12" s="20">
        <v>943413773</v>
      </c>
      <c r="O12" s="24" t="s">
        <v>232</v>
      </c>
      <c r="P12" s="20" t="s">
        <v>30</v>
      </c>
      <c r="Q12" s="20" t="s">
        <v>27</v>
      </c>
      <c r="R12" s="25" t="s">
        <v>32</v>
      </c>
      <c r="S12" s="20">
        <v>20601242657</v>
      </c>
      <c r="T12" s="20" t="s">
        <v>33</v>
      </c>
      <c r="U12" s="20" t="s">
        <v>123</v>
      </c>
      <c r="V12" s="20" t="s">
        <v>50</v>
      </c>
      <c r="W12" s="20" t="s">
        <v>31</v>
      </c>
      <c r="X12" s="26" t="s">
        <v>215</v>
      </c>
      <c r="Y12" s="26" t="s">
        <v>31</v>
      </c>
      <c r="Z12" s="26" t="s">
        <v>31</v>
      </c>
      <c r="AA12" s="26" t="s">
        <v>31</v>
      </c>
      <c r="AB12" s="26">
        <v>29</v>
      </c>
      <c r="AC12" s="27" t="s">
        <v>36</v>
      </c>
      <c r="AD12" s="27" t="s">
        <v>34</v>
      </c>
      <c r="AE12" s="27"/>
      <c r="AF12" s="27"/>
      <c r="AG12" s="27"/>
      <c r="AH12" s="27"/>
      <c r="AI12" s="27"/>
      <c r="AJ12" s="27"/>
      <c r="AK12" s="27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</row>
    <row r="13" spans="1:706" s="28" customFormat="1" hidden="1" x14ac:dyDescent="0.25">
      <c r="A13" s="20">
        <v>16</v>
      </c>
      <c r="B13" s="20" t="s">
        <v>27</v>
      </c>
      <c r="C13" s="20" t="s">
        <v>512</v>
      </c>
      <c r="D13" s="20" t="s">
        <v>172</v>
      </c>
      <c r="E13" s="20"/>
      <c r="F13" s="20" t="s">
        <v>28</v>
      </c>
      <c r="G13" s="20">
        <v>80610247</v>
      </c>
      <c r="H13" s="20" t="s">
        <v>81</v>
      </c>
      <c r="I13" s="20" t="s">
        <v>82</v>
      </c>
      <c r="J13" s="20" t="s">
        <v>83</v>
      </c>
      <c r="K13" s="22" t="str">
        <f t="shared" si="0"/>
        <v>MESTANZA CALDERON CARMELO</v>
      </c>
      <c r="L13" s="20" t="s">
        <v>29</v>
      </c>
      <c r="M13" s="21">
        <v>29050</v>
      </c>
      <c r="N13" s="20">
        <v>950819893</v>
      </c>
      <c r="O13" s="24" t="s">
        <v>232</v>
      </c>
      <c r="P13" s="20" t="s">
        <v>30</v>
      </c>
      <c r="Q13" s="20" t="s">
        <v>27</v>
      </c>
      <c r="R13" s="25" t="s">
        <v>32</v>
      </c>
      <c r="S13" s="20">
        <v>20601242657</v>
      </c>
      <c r="T13" s="20" t="s">
        <v>33</v>
      </c>
      <c r="U13" s="20" t="s">
        <v>123</v>
      </c>
      <c r="V13" s="20" t="s">
        <v>44</v>
      </c>
      <c r="W13" s="20" t="s">
        <v>31</v>
      </c>
      <c r="X13" s="26" t="s">
        <v>209</v>
      </c>
      <c r="Y13" s="26" t="s">
        <v>31</v>
      </c>
      <c r="Z13" s="26" t="s">
        <v>31</v>
      </c>
      <c r="AA13" s="26" t="s">
        <v>31</v>
      </c>
      <c r="AB13" s="26">
        <v>41</v>
      </c>
      <c r="AC13" s="27" t="s">
        <v>36</v>
      </c>
      <c r="AD13" s="27" t="s">
        <v>34</v>
      </c>
      <c r="AE13" s="27"/>
      <c r="AF13" s="27"/>
      <c r="AG13" s="27"/>
      <c r="AH13" s="27"/>
      <c r="AI13" s="27"/>
      <c r="AJ13" s="27"/>
      <c r="AK13" s="27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</row>
    <row r="14" spans="1:706" s="28" customFormat="1" x14ac:dyDescent="0.25">
      <c r="A14" s="20">
        <v>19</v>
      </c>
      <c r="B14" s="20" t="s">
        <v>27</v>
      </c>
      <c r="C14" s="20" t="s">
        <v>512</v>
      </c>
      <c r="D14" s="20" t="s">
        <v>175</v>
      </c>
      <c r="E14" s="20"/>
      <c r="F14" s="20" t="s">
        <v>28</v>
      </c>
      <c r="G14" s="20">
        <v>71770676</v>
      </c>
      <c r="H14" s="20" t="s">
        <v>93</v>
      </c>
      <c r="I14" s="20" t="s">
        <v>94</v>
      </c>
      <c r="J14" s="20" t="s">
        <v>95</v>
      </c>
      <c r="K14" s="22" t="str">
        <f t="shared" si="0"/>
        <v>SALAZAR ARCE GINO</v>
      </c>
      <c r="L14" s="20" t="s">
        <v>29</v>
      </c>
      <c r="M14" s="21">
        <v>36139</v>
      </c>
      <c r="N14" s="20">
        <v>953944807</v>
      </c>
      <c r="O14" s="24" t="s">
        <v>232</v>
      </c>
      <c r="P14" s="20" t="s">
        <v>30</v>
      </c>
      <c r="Q14" s="20" t="s">
        <v>27</v>
      </c>
      <c r="R14" s="25" t="s">
        <v>32</v>
      </c>
      <c r="S14" s="20">
        <v>20601242657</v>
      </c>
      <c r="T14" s="20" t="s">
        <v>33</v>
      </c>
      <c r="U14" s="20" t="s">
        <v>123</v>
      </c>
      <c r="V14" s="20" t="s">
        <v>334</v>
      </c>
      <c r="W14" s="20" t="s">
        <v>31</v>
      </c>
      <c r="X14" s="26" t="s">
        <v>209</v>
      </c>
      <c r="Y14" s="26" t="s">
        <v>31</v>
      </c>
      <c r="Z14" s="26" t="s">
        <v>31</v>
      </c>
      <c r="AA14" s="26" t="s">
        <v>31</v>
      </c>
      <c r="AB14" s="26">
        <v>22</v>
      </c>
      <c r="AC14" s="27" t="s">
        <v>36</v>
      </c>
      <c r="AD14" s="27" t="s">
        <v>34</v>
      </c>
      <c r="AE14" s="27"/>
      <c r="AF14" s="27"/>
      <c r="AG14" s="27"/>
      <c r="AH14" s="27"/>
      <c r="AI14" s="27"/>
      <c r="AJ14" s="27"/>
      <c r="AK14" s="27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</row>
    <row r="15" spans="1:706" s="28" customFormat="1" hidden="1" x14ac:dyDescent="0.25">
      <c r="A15" s="20">
        <v>20</v>
      </c>
      <c r="B15" s="20" t="s">
        <v>27</v>
      </c>
      <c r="C15" s="20" t="s">
        <v>512</v>
      </c>
      <c r="D15" s="20" t="s">
        <v>176</v>
      </c>
      <c r="E15" s="20"/>
      <c r="F15" s="20" t="s">
        <v>28</v>
      </c>
      <c r="G15" s="20">
        <v>76769149</v>
      </c>
      <c r="H15" s="20" t="s">
        <v>48</v>
      </c>
      <c r="I15" s="20" t="s">
        <v>96</v>
      </c>
      <c r="J15" s="20" t="s">
        <v>97</v>
      </c>
      <c r="K15" s="22" t="str">
        <f t="shared" si="0"/>
        <v>CHUQUIMANGO LOPEZ GENARO</v>
      </c>
      <c r="L15" s="20" t="s">
        <v>29</v>
      </c>
      <c r="M15" s="21">
        <v>35525</v>
      </c>
      <c r="N15" s="20">
        <v>913237775</v>
      </c>
      <c r="O15" s="24" t="s">
        <v>232</v>
      </c>
      <c r="P15" s="20" t="s">
        <v>30</v>
      </c>
      <c r="Q15" s="20" t="s">
        <v>27</v>
      </c>
      <c r="R15" s="25" t="s">
        <v>32</v>
      </c>
      <c r="S15" s="20">
        <v>20601242657</v>
      </c>
      <c r="T15" s="20" t="s">
        <v>33</v>
      </c>
      <c r="U15" s="20" t="s">
        <v>123</v>
      </c>
      <c r="V15" s="20" t="s">
        <v>147</v>
      </c>
      <c r="W15" s="20" t="s">
        <v>31</v>
      </c>
      <c r="X15" s="26" t="s">
        <v>211</v>
      </c>
      <c r="Y15" s="26" t="s">
        <v>31</v>
      </c>
      <c r="Z15" s="26" t="s">
        <v>31</v>
      </c>
      <c r="AA15" s="26" t="s">
        <v>31</v>
      </c>
      <c r="AB15" s="26">
        <v>23</v>
      </c>
      <c r="AC15" s="27" t="s">
        <v>36</v>
      </c>
      <c r="AD15" s="27" t="s">
        <v>34</v>
      </c>
      <c r="AE15" s="27"/>
      <c r="AF15" s="27"/>
      <c r="AG15" s="27"/>
      <c r="AH15" s="27"/>
      <c r="AI15" s="27"/>
      <c r="AJ15" s="27"/>
      <c r="AK15" s="27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</row>
    <row r="16" spans="1:706" s="28" customFormat="1" hidden="1" x14ac:dyDescent="0.25">
      <c r="A16" s="20">
        <v>21</v>
      </c>
      <c r="B16" s="20" t="s">
        <v>27</v>
      </c>
      <c r="C16" s="20" t="s">
        <v>512</v>
      </c>
      <c r="D16" s="20" t="s">
        <v>290</v>
      </c>
      <c r="E16" s="20"/>
      <c r="F16" s="20" t="s">
        <v>28</v>
      </c>
      <c r="G16" s="20">
        <v>43718042</v>
      </c>
      <c r="H16" s="20" t="s">
        <v>99</v>
      </c>
      <c r="I16" s="20" t="s">
        <v>100</v>
      </c>
      <c r="J16" s="20" t="s">
        <v>101</v>
      </c>
      <c r="K16" s="22" t="str">
        <f t="shared" si="0"/>
        <v>MATEO TANTACHUCO JORGE JAVIER</v>
      </c>
      <c r="L16" s="20" t="s">
        <v>29</v>
      </c>
      <c r="M16" s="21">
        <v>31528</v>
      </c>
      <c r="N16" s="20">
        <v>941535850</v>
      </c>
      <c r="O16" s="24" t="s">
        <v>232</v>
      </c>
      <c r="P16" s="20" t="s">
        <v>30</v>
      </c>
      <c r="Q16" s="20" t="s">
        <v>27</v>
      </c>
      <c r="R16" s="25" t="s">
        <v>32</v>
      </c>
      <c r="S16" s="20">
        <v>20601242657</v>
      </c>
      <c r="T16" s="20" t="s">
        <v>33</v>
      </c>
      <c r="U16" s="20" t="s">
        <v>123</v>
      </c>
      <c r="V16" s="20" t="s">
        <v>102</v>
      </c>
      <c r="W16" s="20" t="s">
        <v>34</v>
      </c>
      <c r="X16" s="26" t="s">
        <v>213</v>
      </c>
      <c r="Y16" s="26" t="s">
        <v>104</v>
      </c>
      <c r="Z16" s="26" t="s">
        <v>103</v>
      </c>
      <c r="AA16" s="26" t="s">
        <v>333</v>
      </c>
      <c r="AB16" s="26">
        <v>34</v>
      </c>
      <c r="AC16" s="27" t="s">
        <v>36</v>
      </c>
      <c r="AD16" s="27" t="s">
        <v>34</v>
      </c>
      <c r="AE16" s="27"/>
      <c r="AF16" s="27"/>
      <c r="AG16" s="27"/>
      <c r="AH16" s="27"/>
      <c r="AI16" s="27"/>
      <c r="AJ16" s="27"/>
      <c r="AK16" s="27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</row>
    <row r="17" spans="1:706" s="28" customFormat="1" hidden="1" x14ac:dyDescent="0.25">
      <c r="A17" s="20">
        <v>1</v>
      </c>
      <c r="B17" s="20" t="s">
        <v>27</v>
      </c>
      <c r="C17" s="20" t="s">
        <v>512</v>
      </c>
      <c r="D17" s="20" t="s">
        <v>226</v>
      </c>
      <c r="E17" s="20"/>
      <c r="F17" s="20" t="s">
        <v>28</v>
      </c>
      <c r="G17" s="20" t="s">
        <v>53</v>
      </c>
      <c r="H17" s="20" t="s">
        <v>54</v>
      </c>
      <c r="I17" s="20" t="s">
        <v>55</v>
      </c>
      <c r="J17" s="20" t="s">
        <v>56</v>
      </c>
      <c r="K17" s="22" t="str">
        <f t="shared" si="0"/>
        <v>TERAN HUAMAN OSCAR</v>
      </c>
      <c r="L17" s="20" t="s">
        <v>29</v>
      </c>
      <c r="M17" s="21">
        <v>32868</v>
      </c>
      <c r="N17" s="20">
        <v>917029852</v>
      </c>
      <c r="O17" s="24" t="s">
        <v>232</v>
      </c>
      <c r="P17" s="20" t="s">
        <v>30</v>
      </c>
      <c r="Q17" s="20" t="s">
        <v>27</v>
      </c>
      <c r="R17" s="25" t="s">
        <v>32</v>
      </c>
      <c r="S17" s="20">
        <v>20601242657</v>
      </c>
      <c r="T17" s="20" t="s">
        <v>33</v>
      </c>
      <c r="U17" s="20" t="s">
        <v>123</v>
      </c>
      <c r="V17" s="20" t="s">
        <v>44</v>
      </c>
      <c r="W17" s="20" t="s">
        <v>34</v>
      </c>
      <c r="X17" s="26" t="s">
        <v>321</v>
      </c>
      <c r="Y17" s="26" t="s">
        <v>320</v>
      </c>
      <c r="Z17" s="26" t="s">
        <v>320</v>
      </c>
      <c r="AA17" s="26" t="s">
        <v>45</v>
      </c>
      <c r="AB17" s="26">
        <v>31</v>
      </c>
      <c r="AC17" s="27" t="s">
        <v>36</v>
      </c>
      <c r="AD17" s="27" t="s">
        <v>34</v>
      </c>
      <c r="AE17" s="27"/>
      <c r="AF17" s="27"/>
      <c r="AG17" s="27"/>
      <c r="AH17" s="27"/>
      <c r="AI17" s="27"/>
      <c r="AJ17" s="27"/>
      <c r="AK17" s="27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</row>
    <row r="18" spans="1:706" s="28" customFormat="1" hidden="1" x14ac:dyDescent="0.25">
      <c r="A18" s="20">
        <v>2</v>
      </c>
      <c r="B18" s="20" t="s">
        <v>27</v>
      </c>
      <c r="C18" s="20" t="s">
        <v>512</v>
      </c>
      <c r="D18" s="20" t="s">
        <v>227</v>
      </c>
      <c r="E18" s="20"/>
      <c r="F18" s="20" t="s">
        <v>28</v>
      </c>
      <c r="G18" s="20">
        <v>41922354</v>
      </c>
      <c r="H18" s="20" t="s">
        <v>63</v>
      </c>
      <c r="I18" s="20" t="s">
        <v>64</v>
      </c>
      <c r="J18" s="20" t="s">
        <v>65</v>
      </c>
      <c r="K18" s="22" t="str">
        <f t="shared" si="0"/>
        <v>ULLOA VALVERDE JOSE DAVID</v>
      </c>
      <c r="L18" s="20" t="s">
        <v>29</v>
      </c>
      <c r="M18" s="21">
        <v>30378</v>
      </c>
      <c r="N18" s="20">
        <v>967585952</v>
      </c>
      <c r="O18" s="24" t="s">
        <v>232</v>
      </c>
      <c r="P18" s="20" t="s">
        <v>30</v>
      </c>
      <c r="Q18" s="20" t="s">
        <v>27</v>
      </c>
      <c r="R18" s="25" t="s">
        <v>32</v>
      </c>
      <c r="S18" s="20">
        <v>20601242657</v>
      </c>
      <c r="T18" s="20" t="s">
        <v>33</v>
      </c>
      <c r="U18" s="20" t="s">
        <v>123</v>
      </c>
      <c r="V18" s="20" t="s">
        <v>147</v>
      </c>
      <c r="W18" s="20" t="s">
        <v>34</v>
      </c>
      <c r="X18" s="26" t="s">
        <v>319</v>
      </c>
      <c r="Y18" s="26" t="s">
        <v>236</v>
      </c>
      <c r="Z18" s="26" t="s">
        <v>203</v>
      </c>
      <c r="AA18" s="26" t="s">
        <v>45</v>
      </c>
      <c r="AB18" s="26">
        <v>37</v>
      </c>
      <c r="AC18" s="27" t="s">
        <v>36</v>
      </c>
      <c r="AD18" s="27" t="s">
        <v>34</v>
      </c>
      <c r="AE18" s="27"/>
      <c r="AF18" s="27"/>
      <c r="AG18" s="27"/>
      <c r="AH18" s="27"/>
      <c r="AI18" s="27"/>
      <c r="AJ18" s="27"/>
      <c r="AK18" s="27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</row>
    <row r="19" spans="1:706" s="28" customFormat="1" hidden="1" x14ac:dyDescent="0.25">
      <c r="A19" s="20">
        <v>3</v>
      </c>
      <c r="B19" s="20" t="s">
        <v>27</v>
      </c>
      <c r="C19" s="20" t="s">
        <v>512</v>
      </c>
      <c r="D19" s="20" t="s">
        <v>282</v>
      </c>
      <c r="E19" s="20"/>
      <c r="F19" s="20" t="s">
        <v>28</v>
      </c>
      <c r="G19" s="20">
        <v>76596403</v>
      </c>
      <c r="H19" s="20" t="s">
        <v>57</v>
      </c>
      <c r="I19" s="20" t="s">
        <v>58</v>
      </c>
      <c r="J19" s="20" t="s">
        <v>59</v>
      </c>
      <c r="K19" s="22" t="str">
        <f t="shared" si="0"/>
        <v>GUEVARA ARAUJO CRISTIAN BRISNEY</v>
      </c>
      <c r="L19" s="20" t="s">
        <v>29</v>
      </c>
      <c r="M19" s="21">
        <v>36516</v>
      </c>
      <c r="N19" s="20">
        <v>900797319</v>
      </c>
      <c r="O19" s="24" t="s">
        <v>232</v>
      </c>
      <c r="P19" s="20" t="s">
        <v>30</v>
      </c>
      <c r="Q19" s="20" t="s">
        <v>27</v>
      </c>
      <c r="R19" s="25" t="s">
        <v>32</v>
      </c>
      <c r="S19" s="20">
        <v>20601242657</v>
      </c>
      <c r="T19" s="20" t="s">
        <v>33</v>
      </c>
      <c r="U19" s="20" t="s">
        <v>123</v>
      </c>
      <c r="V19" s="20" t="s">
        <v>147</v>
      </c>
      <c r="W19" s="20" t="s">
        <v>34</v>
      </c>
      <c r="X19" s="26" t="s">
        <v>323</v>
      </c>
      <c r="Y19" s="26" t="s">
        <v>322</v>
      </c>
      <c r="Z19" s="26" t="s">
        <v>103</v>
      </c>
      <c r="AA19" s="26" t="s">
        <v>333</v>
      </c>
      <c r="AB19" s="26">
        <v>21</v>
      </c>
      <c r="AC19" s="27" t="s">
        <v>36</v>
      </c>
      <c r="AD19" s="27" t="s">
        <v>34</v>
      </c>
      <c r="AE19" s="27"/>
      <c r="AF19" s="27"/>
      <c r="AG19" s="27"/>
      <c r="AH19" s="27"/>
      <c r="AI19" s="27"/>
      <c r="AJ19" s="27"/>
      <c r="AK19" s="27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</row>
    <row r="20" spans="1:706" s="28" customFormat="1" hidden="1" x14ac:dyDescent="0.25">
      <c r="A20" s="20">
        <v>5</v>
      </c>
      <c r="B20" s="20" t="s">
        <v>27</v>
      </c>
      <c r="C20" s="20" t="s">
        <v>512</v>
      </c>
      <c r="D20" s="20" t="s">
        <v>224</v>
      </c>
      <c r="E20" s="20"/>
      <c r="F20" s="20" t="s">
        <v>28</v>
      </c>
      <c r="G20" s="20">
        <v>47814200</v>
      </c>
      <c r="H20" s="20" t="s">
        <v>60</v>
      </c>
      <c r="I20" s="20" t="s">
        <v>61</v>
      </c>
      <c r="J20" s="20" t="s">
        <v>62</v>
      </c>
      <c r="K20" s="22" t="str">
        <f t="shared" si="0"/>
        <v>MENDOZA MARRUFO PEDRO JORDY</v>
      </c>
      <c r="L20" s="20" t="s">
        <v>29</v>
      </c>
      <c r="M20" s="21">
        <v>34070</v>
      </c>
      <c r="N20" s="20">
        <v>967096061</v>
      </c>
      <c r="O20" s="24" t="s">
        <v>232</v>
      </c>
      <c r="P20" s="20" t="s">
        <v>30</v>
      </c>
      <c r="Q20" s="20" t="s">
        <v>27</v>
      </c>
      <c r="R20" s="25" t="s">
        <v>32</v>
      </c>
      <c r="S20" s="20">
        <v>20601242657</v>
      </c>
      <c r="T20" s="20" t="s">
        <v>33</v>
      </c>
      <c r="U20" s="20" t="s">
        <v>123</v>
      </c>
      <c r="V20" s="20" t="s">
        <v>46</v>
      </c>
      <c r="W20" s="20" t="s">
        <v>34</v>
      </c>
      <c r="X20" s="26" t="s">
        <v>323</v>
      </c>
      <c r="Y20" s="26" t="s">
        <v>325</v>
      </c>
      <c r="Z20" s="26" t="s">
        <v>103</v>
      </c>
      <c r="AA20" s="26" t="s">
        <v>333</v>
      </c>
      <c r="AB20" s="26">
        <v>27</v>
      </c>
      <c r="AC20" s="27" t="s">
        <v>36</v>
      </c>
      <c r="AD20" s="27" t="s">
        <v>34</v>
      </c>
      <c r="AE20" s="27"/>
      <c r="AF20" s="27"/>
      <c r="AG20" s="27"/>
      <c r="AH20" s="27"/>
      <c r="AI20" s="27"/>
      <c r="AJ20" s="27"/>
      <c r="AK20" s="27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</row>
    <row r="21" spans="1:706" s="28" customFormat="1" hidden="1" x14ac:dyDescent="0.25">
      <c r="A21" s="20">
        <v>7</v>
      </c>
      <c r="B21" s="20" t="s">
        <v>27</v>
      </c>
      <c r="C21" s="20" t="s">
        <v>512</v>
      </c>
      <c r="D21" s="20" t="s">
        <v>290</v>
      </c>
      <c r="E21" s="20"/>
      <c r="F21" s="20" t="s">
        <v>28</v>
      </c>
      <c r="G21" s="20">
        <v>48482684</v>
      </c>
      <c r="H21" s="20" t="s">
        <v>66</v>
      </c>
      <c r="I21" s="20" t="s">
        <v>67</v>
      </c>
      <c r="J21" s="20" t="s">
        <v>68</v>
      </c>
      <c r="K21" s="22" t="str">
        <f t="shared" si="0"/>
        <v>REYES HERNANDEZ YEFRY ALFONSO</v>
      </c>
      <c r="L21" s="20" t="s">
        <v>29</v>
      </c>
      <c r="M21" s="21">
        <v>32720</v>
      </c>
      <c r="N21" s="20">
        <v>915228568</v>
      </c>
      <c r="O21" s="24" t="s">
        <v>232</v>
      </c>
      <c r="P21" s="20" t="s">
        <v>30</v>
      </c>
      <c r="Q21" s="20" t="s">
        <v>27</v>
      </c>
      <c r="R21" s="25" t="s">
        <v>32</v>
      </c>
      <c r="S21" s="20">
        <v>20601242657</v>
      </c>
      <c r="T21" s="20" t="s">
        <v>33</v>
      </c>
      <c r="U21" s="20" t="s">
        <v>123</v>
      </c>
      <c r="V21" s="20" t="s">
        <v>46</v>
      </c>
      <c r="W21" s="20" t="s">
        <v>34</v>
      </c>
      <c r="X21" s="26" t="s">
        <v>327</v>
      </c>
      <c r="Y21" s="26" t="s">
        <v>236</v>
      </c>
      <c r="Z21" s="26" t="s">
        <v>203</v>
      </c>
      <c r="AA21" s="26" t="s">
        <v>45</v>
      </c>
      <c r="AB21" s="26">
        <v>31</v>
      </c>
      <c r="AC21" s="27" t="s">
        <v>36</v>
      </c>
      <c r="AD21" s="27" t="s">
        <v>34</v>
      </c>
      <c r="AE21" s="27"/>
      <c r="AF21" s="27"/>
      <c r="AG21" s="27"/>
      <c r="AH21" s="27"/>
      <c r="AI21" s="27"/>
      <c r="AJ21" s="27"/>
      <c r="AK21" s="27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</row>
    <row r="22" spans="1:706" s="28" customFormat="1" hidden="1" x14ac:dyDescent="0.25">
      <c r="A22" s="20">
        <v>10</v>
      </c>
      <c r="B22" s="20" t="s">
        <v>27</v>
      </c>
      <c r="C22" s="20" t="s">
        <v>512</v>
      </c>
      <c r="D22" s="20" t="s">
        <v>252</v>
      </c>
      <c r="E22" s="20"/>
      <c r="F22" s="20" t="s">
        <v>28</v>
      </c>
      <c r="G22" s="20">
        <v>47676739</v>
      </c>
      <c r="H22" s="20" t="s">
        <v>72</v>
      </c>
      <c r="I22" s="20" t="s">
        <v>60</v>
      </c>
      <c r="J22" s="20" t="s">
        <v>187</v>
      </c>
      <c r="K22" s="22" t="str">
        <f t="shared" si="0"/>
        <v>SANCHEZ MENDOZA ALEX</v>
      </c>
      <c r="L22" s="20" t="s">
        <v>29</v>
      </c>
      <c r="M22" s="21">
        <v>34010</v>
      </c>
      <c r="N22" s="20"/>
      <c r="O22" s="24" t="s">
        <v>232</v>
      </c>
      <c r="P22" s="20" t="s">
        <v>30</v>
      </c>
      <c r="Q22" s="20" t="s">
        <v>27</v>
      </c>
      <c r="R22" s="25" t="s">
        <v>32</v>
      </c>
      <c r="S22" s="20">
        <v>20601242662</v>
      </c>
      <c r="T22" s="20" t="s">
        <v>33</v>
      </c>
      <c r="U22" s="20" t="s">
        <v>123</v>
      </c>
      <c r="V22" s="20" t="s">
        <v>285</v>
      </c>
      <c r="W22" s="20" t="s">
        <v>31</v>
      </c>
      <c r="X22" s="26" t="s">
        <v>217</v>
      </c>
      <c r="Y22" s="26" t="s">
        <v>31</v>
      </c>
      <c r="Z22" s="26" t="s">
        <v>31</v>
      </c>
      <c r="AA22" s="26" t="s">
        <v>31</v>
      </c>
      <c r="AB22" s="26">
        <v>27</v>
      </c>
      <c r="AC22" s="27" t="s">
        <v>36</v>
      </c>
      <c r="AD22" s="27" t="s">
        <v>34</v>
      </c>
      <c r="AE22" s="27"/>
      <c r="AF22" s="27"/>
      <c r="AG22" s="27"/>
      <c r="AH22" s="27"/>
      <c r="AI22" s="27"/>
      <c r="AJ22" s="27"/>
      <c r="AK22" s="27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</row>
    <row r="23" spans="1:706" s="28" customFormat="1" hidden="1" x14ac:dyDescent="0.25">
      <c r="A23" s="20">
        <v>12</v>
      </c>
      <c r="B23" s="20" t="s">
        <v>27</v>
      </c>
      <c r="C23" s="20" t="s">
        <v>512</v>
      </c>
      <c r="D23" s="20" t="s">
        <v>256</v>
      </c>
      <c r="E23" s="20"/>
      <c r="F23" s="20" t="s">
        <v>28</v>
      </c>
      <c r="G23" s="20">
        <v>41917682</v>
      </c>
      <c r="H23" s="20" t="s">
        <v>192</v>
      </c>
      <c r="I23" s="20" t="s">
        <v>193</v>
      </c>
      <c r="J23" s="20" t="s">
        <v>191</v>
      </c>
      <c r="K23" s="22" t="str">
        <f t="shared" si="0"/>
        <v>RUIZ QUEZADA MIGUEL ANGEL</v>
      </c>
      <c r="L23" s="20" t="s">
        <v>29</v>
      </c>
      <c r="M23" s="21">
        <v>30249</v>
      </c>
      <c r="N23" s="20">
        <v>941490348</v>
      </c>
      <c r="O23" s="24" t="s">
        <v>232</v>
      </c>
      <c r="P23" s="20" t="s">
        <v>30</v>
      </c>
      <c r="Q23" s="20" t="s">
        <v>27</v>
      </c>
      <c r="R23" s="25" t="s">
        <v>32</v>
      </c>
      <c r="S23" s="20">
        <v>20601242662</v>
      </c>
      <c r="T23" s="20" t="s">
        <v>33</v>
      </c>
      <c r="U23" s="20" t="s">
        <v>123</v>
      </c>
      <c r="V23" s="20" t="s">
        <v>147</v>
      </c>
      <c r="W23" s="20" t="s">
        <v>202</v>
      </c>
      <c r="X23" s="26" t="s">
        <v>314</v>
      </c>
      <c r="Y23" s="26" t="s">
        <v>202</v>
      </c>
      <c r="Z23" s="26" t="s">
        <v>203</v>
      </c>
      <c r="AA23" s="26" t="s">
        <v>45</v>
      </c>
      <c r="AB23" s="26">
        <v>48</v>
      </c>
      <c r="AC23" s="27" t="s">
        <v>36</v>
      </c>
      <c r="AD23" s="27" t="s">
        <v>34</v>
      </c>
      <c r="AE23" s="27"/>
      <c r="AF23" s="27"/>
      <c r="AG23" s="27"/>
      <c r="AH23" s="27"/>
      <c r="AI23" s="27"/>
      <c r="AJ23" s="27"/>
      <c r="AK23" s="27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</row>
    <row r="24" spans="1:706" s="28" customFormat="1" hidden="1" x14ac:dyDescent="0.25">
      <c r="A24" s="20">
        <v>13</v>
      </c>
      <c r="B24" s="20" t="s">
        <v>27</v>
      </c>
      <c r="C24" s="20" t="s">
        <v>512</v>
      </c>
      <c r="D24" s="20" t="s">
        <v>283</v>
      </c>
      <c r="E24" s="20"/>
      <c r="F24" s="20" t="s">
        <v>28</v>
      </c>
      <c r="G24" s="20">
        <v>74241245</v>
      </c>
      <c r="H24" s="20" t="s">
        <v>196</v>
      </c>
      <c r="I24" s="20" t="s">
        <v>195</v>
      </c>
      <c r="J24" s="20" t="s">
        <v>194</v>
      </c>
      <c r="K24" s="22" t="str">
        <f t="shared" si="0"/>
        <v>RODRIGUEZ AVILA CARLOS MANUEL</v>
      </c>
      <c r="L24" s="20" t="s">
        <v>29</v>
      </c>
      <c r="M24" s="21">
        <v>35498</v>
      </c>
      <c r="N24" s="24"/>
      <c r="O24" s="24" t="s">
        <v>232</v>
      </c>
      <c r="P24" s="20" t="s">
        <v>30</v>
      </c>
      <c r="Q24" s="20" t="s">
        <v>27</v>
      </c>
      <c r="R24" s="25" t="s">
        <v>32</v>
      </c>
      <c r="S24" s="20">
        <v>20601242662</v>
      </c>
      <c r="T24" s="20" t="s">
        <v>33</v>
      </c>
      <c r="U24" s="20" t="s">
        <v>123</v>
      </c>
      <c r="V24" s="20" t="s">
        <v>147</v>
      </c>
      <c r="W24" s="20" t="s">
        <v>202</v>
      </c>
      <c r="X24" s="26" t="s">
        <v>315</v>
      </c>
      <c r="Y24" s="26" t="s">
        <v>202</v>
      </c>
      <c r="Z24" s="26" t="s">
        <v>203</v>
      </c>
      <c r="AA24" s="26" t="s">
        <v>45</v>
      </c>
      <c r="AB24" s="26">
        <v>24</v>
      </c>
      <c r="AC24" s="27" t="s">
        <v>36</v>
      </c>
      <c r="AD24" s="27" t="s">
        <v>34</v>
      </c>
      <c r="AE24" s="27"/>
      <c r="AF24" s="27"/>
      <c r="AG24" s="27"/>
      <c r="AH24" s="27"/>
      <c r="AI24" s="27"/>
      <c r="AJ24" s="27"/>
      <c r="AK24" s="27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</row>
    <row r="25" spans="1:706" s="28" customFormat="1" hidden="1" x14ac:dyDescent="0.25">
      <c r="A25" s="20">
        <v>14</v>
      </c>
      <c r="B25" s="20" t="s">
        <v>27</v>
      </c>
      <c r="C25" s="20" t="s">
        <v>512</v>
      </c>
      <c r="D25" s="20" t="s">
        <v>255</v>
      </c>
      <c r="E25" s="20"/>
      <c r="F25" s="20" t="s">
        <v>28</v>
      </c>
      <c r="G25" s="20">
        <v>45772855</v>
      </c>
      <c r="H25" s="20" t="s">
        <v>198</v>
      </c>
      <c r="I25" s="20" t="s">
        <v>55</v>
      </c>
      <c r="J25" s="20" t="s">
        <v>197</v>
      </c>
      <c r="K25" s="22" t="str">
        <f t="shared" si="0"/>
        <v>SORIA HUAMAN AMERICO</v>
      </c>
      <c r="L25" s="20" t="s">
        <v>29</v>
      </c>
      <c r="M25" s="21">
        <v>31922</v>
      </c>
      <c r="N25" s="20">
        <v>987790971</v>
      </c>
      <c r="O25" s="24" t="s">
        <v>232</v>
      </c>
      <c r="P25" s="20" t="s">
        <v>30</v>
      </c>
      <c r="Q25" s="20" t="s">
        <v>27</v>
      </c>
      <c r="R25" s="25" t="s">
        <v>32</v>
      </c>
      <c r="S25" s="20">
        <v>20601242662</v>
      </c>
      <c r="T25" s="20" t="s">
        <v>33</v>
      </c>
      <c r="U25" s="20" t="s">
        <v>123</v>
      </c>
      <c r="V25" s="20" t="s">
        <v>285</v>
      </c>
      <c r="W25" s="20" t="s">
        <v>31</v>
      </c>
      <c r="X25" s="26" t="s">
        <v>218</v>
      </c>
      <c r="Y25" s="26" t="s">
        <v>31</v>
      </c>
      <c r="Z25" s="26" t="s">
        <v>31</v>
      </c>
      <c r="AA25" s="26" t="s">
        <v>31</v>
      </c>
      <c r="AB25" s="26">
        <v>43</v>
      </c>
      <c r="AC25" s="27" t="s">
        <v>36</v>
      </c>
      <c r="AD25" s="27" t="s">
        <v>34</v>
      </c>
      <c r="AE25" s="27"/>
      <c r="AF25" s="27"/>
      <c r="AG25" s="27"/>
      <c r="AH25" s="27"/>
      <c r="AI25" s="27"/>
      <c r="AJ25" s="27"/>
      <c r="AK25" s="27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</row>
    <row r="26" spans="1:706" s="28" customFormat="1" hidden="1" x14ac:dyDescent="0.25">
      <c r="A26" s="20">
        <v>15</v>
      </c>
      <c r="B26" s="20" t="s">
        <v>27</v>
      </c>
      <c r="C26" s="20" t="s">
        <v>512</v>
      </c>
      <c r="D26" s="20" t="s">
        <v>260</v>
      </c>
      <c r="E26" s="20"/>
      <c r="F26" s="20" t="s">
        <v>28</v>
      </c>
      <c r="G26" s="20">
        <v>77680655</v>
      </c>
      <c r="H26" s="20" t="s">
        <v>199</v>
      </c>
      <c r="I26" s="20" t="s">
        <v>200</v>
      </c>
      <c r="J26" s="20" t="s">
        <v>201</v>
      </c>
      <c r="K26" s="22" t="str">
        <f t="shared" si="0"/>
        <v>MENDEZ LLAJARUNA JOSE ARMANDO</v>
      </c>
      <c r="L26" s="20" t="s">
        <v>29</v>
      </c>
      <c r="M26" s="21">
        <v>36407</v>
      </c>
      <c r="N26" s="20"/>
      <c r="O26" s="24" t="s">
        <v>232</v>
      </c>
      <c r="P26" s="20" t="s">
        <v>30</v>
      </c>
      <c r="Q26" s="20" t="s">
        <v>27</v>
      </c>
      <c r="R26" s="25" t="s">
        <v>32</v>
      </c>
      <c r="S26" s="20">
        <v>20601242662</v>
      </c>
      <c r="T26" s="20" t="s">
        <v>33</v>
      </c>
      <c r="U26" s="20" t="s">
        <v>123</v>
      </c>
      <c r="V26" s="20" t="s">
        <v>147</v>
      </c>
      <c r="W26" s="20" t="s">
        <v>45</v>
      </c>
      <c r="X26" s="26" t="s">
        <v>316</v>
      </c>
      <c r="Y26" s="26" t="s">
        <v>202</v>
      </c>
      <c r="Z26" s="26" t="s">
        <v>203</v>
      </c>
      <c r="AA26" s="26" t="s">
        <v>45</v>
      </c>
      <c r="AB26" s="26">
        <v>21</v>
      </c>
      <c r="AC26" s="27" t="s">
        <v>36</v>
      </c>
      <c r="AD26" s="27" t="s">
        <v>34</v>
      </c>
      <c r="AE26" s="27"/>
      <c r="AF26" s="27"/>
      <c r="AG26" s="27"/>
      <c r="AH26" s="27"/>
      <c r="AI26" s="27"/>
      <c r="AJ26" s="27"/>
      <c r="AK26" s="27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</row>
    <row r="27" spans="1:706" s="28" customFormat="1" hidden="1" x14ac:dyDescent="0.25">
      <c r="A27" s="20">
        <v>39</v>
      </c>
      <c r="B27" s="20" t="s">
        <v>27</v>
      </c>
      <c r="C27" s="20" t="s">
        <v>512</v>
      </c>
      <c r="D27" s="20" t="s">
        <v>254</v>
      </c>
      <c r="E27" s="20"/>
      <c r="F27" s="20" t="s">
        <v>28</v>
      </c>
      <c r="G27" s="20">
        <v>71882744</v>
      </c>
      <c r="H27" s="20" t="s">
        <v>182</v>
      </c>
      <c r="I27" s="20" t="s">
        <v>183</v>
      </c>
      <c r="J27" s="20" t="s">
        <v>97</v>
      </c>
      <c r="K27" s="22" t="str">
        <f>CONCATENATE(H27," ",I27," ",J27)</f>
        <v>LIMAY VALIENTE GENARO</v>
      </c>
      <c r="L27" s="20" t="s">
        <v>29</v>
      </c>
      <c r="M27" s="21">
        <v>32621</v>
      </c>
      <c r="N27" s="20">
        <v>969311259</v>
      </c>
      <c r="O27" s="24" t="s">
        <v>232</v>
      </c>
      <c r="P27" s="20" t="s">
        <v>30</v>
      </c>
      <c r="Q27" s="20" t="s">
        <v>27</v>
      </c>
      <c r="R27" s="25" t="s">
        <v>32</v>
      </c>
      <c r="S27" s="20">
        <v>20601242657</v>
      </c>
      <c r="T27" s="20" t="s">
        <v>33</v>
      </c>
      <c r="U27" s="20" t="s">
        <v>123</v>
      </c>
      <c r="V27" s="20" t="s">
        <v>42</v>
      </c>
      <c r="W27" s="20" t="s">
        <v>31</v>
      </c>
      <c r="X27" s="26" t="s">
        <v>286</v>
      </c>
      <c r="Y27" s="26" t="s">
        <v>31</v>
      </c>
      <c r="Z27" s="26" t="s">
        <v>31</v>
      </c>
      <c r="AA27" s="26" t="s">
        <v>31</v>
      </c>
      <c r="AB27" s="26">
        <v>23</v>
      </c>
      <c r="AC27" s="27" t="s">
        <v>36</v>
      </c>
      <c r="AD27" s="27" t="s">
        <v>34</v>
      </c>
      <c r="AE27" s="27"/>
      <c r="AF27" s="27"/>
      <c r="AG27" s="27"/>
      <c r="AH27" s="27"/>
      <c r="AI27" s="27"/>
      <c r="AJ27" s="27"/>
      <c r="AK27" s="27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</row>
    <row r="28" spans="1:706" s="28" customFormat="1" hidden="1" x14ac:dyDescent="0.25">
      <c r="A28" s="20">
        <v>40</v>
      </c>
      <c r="B28" s="20" t="s">
        <v>27</v>
      </c>
      <c r="C28" s="20" t="s">
        <v>512</v>
      </c>
      <c r="D28" s="20" t="s">
        <v>179</v>
      </c>
      <c r="E28" s="20"/>
      <c r="F28" s="20" t="s">
        <v>28</v>
      </c>
      <c r="G28" s="20">
        <v>47833170</v>
      </c>
      <c r="H28" s="20" t="s">
        <v>38</v>
      </c>
      <c r="I28" s="20" t="s">
        <v>39</v>
      </c>
      <c r="J28" s="20" t="s">
        <v>41</v>
      </c>
      <c r="K28" s="22" t="str">
        <f>CONCATENATE(H28," ",I28," ",J28)</f>
        <v>HERAS MINCHAN JOSE WILSON</v>
      </c>
      <c r="L28" s="20" t="s">
        <v>29</v>
      </c>
      <c r="M28" s="21">
        <v>34171</v>
      </c>
      <c r="N28" s="20">
        <v>975443991</v>
      </c>
      <c r="O28" s="24" t="s">
        <v>232</v>
      </c>
      <c r="P28" s="20" t="s">
        <v>30</v>
      </c>
      <c r="Q28" s="20" t="s">
        <v>27</v>
      </c>
      <c r="R28" s="25" t="s">
        <v>32</v>
      </c>
      <c r="S28" s="20">
        <v>20601242657</v>
      </c>
      <c r="T28" s="20" t="s">
        <v>33</v>
      </c>
      <c r="U28" s="20" t="s">
        <v>123</v>
      </c>
      <c r="V28" s="20" t="s">
        <v>42</v>
      </c>
      <c r="W28" s="20" t="s">
        <v>31</v>
      </c>
      <c r="X28" s="26" t="s">
        <v>219</v>
      </c>
      <c r="Y28" s="26" t="s">
        <v>31</v>
      </c>
      <c r="Z28" s="26" t="s">
        <v>31</v>
      </c>
      <c r="AA28" s="26" t="s">
        <v>31</v>
      </c>
      <c r="AB28" s="26">
        <v>27</v>
      </c>
      <c r="AC28" s="27" t="s">
        <v>36</v>
      </c>
      <c r="AD28" s="27" t="s">
        <v>34</v>
      </c>
      <c r="AE28" s="27"/>
      <c r="AF28" s="27"/>
      <c r="AG28" s="27"/>
      <c r="AH28" s="27"/>
      <c r="AI28" s="27"/>
      <c r="AJ28" s="27"/>
      <c r="AK28" s="27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</row>
    <row r="29" spans="1:706" s="28" customFormat="1" hidden="1" x14ac:dyDescent="0.25">
      <c r="A29" s="20">
        <v>41</v>
      </c>
      <c r="B29" s="20" t="s">
        <v>27</v>
      </c>
      <c r="C29" s="20" t="s">
        <v>512</v>
      </c>
      <c r="D29" s="20" t="s">
        <v>223</v>
      </c>
      <c r="E29" s="20"/>
      <c r="F29" s="20" t="s">
        <v>28</v>
      </c>
      <c r="G29" s="20">
        <v>72713905</v>
      </c>
      <c r="H29" s="20" t="s">
        <v>35</v>
      </c>
      <c r="I29" s="20" t="s">
        <v>51</v>
      </c>
      <c r="J29" s="20" t="s">
        <v>52</v>
      </c>
      <c r="K29" s="22" t="str">
        <f>CONCATENATE(H29," ",I29," ",J29)</f>
        <v>CUEVA CASTREJON LUCAS</v>
      </c>
      <c r="L29" s="20" t="s">
        <v>29</v>
      </c>
      <c r="M29" s="21">
        <v>34657</v>
      </c>
      <c r="N29" s="24"/>
      <c r="O29" s="24" t="s">
        <v>232</v>
      </c>
      <c r="P29" s="20" t="s">
        <v>30</v>
      </c>
      <c r="Q29" s="20" t="s">
        <v>27</v>
      </c>
      <c r="R29" s="25" t="s">
        <v>32</v>
      </c>
      <c r="S29" s="20">
        <v>20601242658</v>
      </c>
      <c r="T29" s="20" t="s">
        <v>33</v>
      </c>
      <c r="U29" s="20" t="s">
        <v>123</v>
      </c>
      <c r="V29" s="20" t="s">
        <v>42</v>
      </c>
      <c r="W29" s="20" t="s">
        <v>31</v>
      </c>
      <c r="X29" s="26" t="s">
        <v>317</v>
      </c>
      <c r="Y29" s="26" t="s">
        <v>31</v>
      </c>
      <c r="Z29" s="26" t="s">
        <v>31</v>
      </c>
      <c r="AA29" s="26" t="s">
        <v>31</v>
      </c>
      <c r="AB29" s="26">
        <v>26</v>
      </c>
      <c r="AC29" s="27" t="s">
        <v>36</v>
      </c>
      <c r="AD29" s="27" t="s">
        <v>34</v>
      </c>
      <c r="AE29" s="27"/>
      <c r="AF29" s="27"/>
      <c r="AG29" s="27"/>
      <c r="AH29" s="27"/>
      <c r="AI29" s="27"/>
      <c r="AJ29" s="27"/>
      <c r="AK29" s="27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</row>
    <row r="30" spans="1:706" s="28" customFormat="1" hidden="1" x14ac:dyDescent="0.25">
      <c r="A30" s="20">
        <v>42</v>
      </c>
      <c r="B30" s="20" t="s">
        <v>27</v>
      </c>
      <c r="C30" s="20" t="s">
        <v>512</v>
      </c>
      <c r="D30" s="20" t="s">
        <v>177</v>
      </c>
      <c r="E30" s="20"/>
      <c r="F30" s="20" t="s">
        <v>28</v>
      </c>
      <c r="G30" s="20">
        <v>41193394</v>
      </c>
      <c r="H30" s="20" t="s">
        <v>155</v>
      </c>
      <c r="I30" s="20" t="s">
        <v>156</v>
      </c>
      <c r="J30" s="20" t="s">
        <v>157</v>
      </c>
      <c r="K30" s="22" t="str">
        <f>CONCATENATE(H30," ",I30," ",J30)</f>
        <v>LLOVERA MICHAN SAMUEL SEGUNDO</v>
      </c>
      <c r="L30" s="20" t="s">
        <v>29</v>
      </c>
      <c r="M30" s="29" t="s">
        <v>230</v>
      </c>
      <c r="N30" s="20">
        <v>976971622</v>
      </c>
      <c r="O30" s="24" t="s">
        <v>232</v>
      </c>
      <c r="P30" s="20" t="s">
        <v>30</v>
      </c>
      <c r="Q30" s="20" t="s">
        <v>27</v>
      </c>
      <c r="R30" s="25" t="s">
        <v>32</v>
      </c>
      <c r="S30" s="20">
        <v>20601242657</v>
      </c>
      <c r="T30" s="20" t="s">
        <v>33</v>
      </c>
      <c r="U30" s="20" t="s">
        <v>123</v>
      </c>
      <c r="V30" s="20" t="s">
        <v>158</v>
      </c>
      <c r="W30" s="20" t="s">
        <v>31</v>
      </c>
      <c r="X30" s="26" t="s">
        <v>318</v>
      </c>
      <c r="Y30" s="26" t="s">
        <v>31</v>
      </c>
      <c r="Z30" s="26" t="s">
        <v>31</v>
      </c>
      <c r="AA30" s="26" t="s">
        <v>31</v>
      </c>
      <c r="AB30" s="26">
        <v>40</v>
      </c>
      <c r="AC30" s="27" t="s">
        <v>36</v>
      </c>
      <c r="AD30" s="27" t="s">
        <v>34</v>
      </c>
      <c r="AE30" s="27"/>
      <c r="AF30" s="27"/>
      <c r="AG30" s="27"/>
      <c r="AH30" s="27"/>
      <c r="AI30" s="27"/>
      <c r="AJ30" s="27"/>
      <c r="AK30" s="27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</row>
    <row r="31" spans="1:706" s="28" customFormat="1" hidden="1" x14ac:dyDescent="0.25">
      <c r="A31" s="20">
        <v>44</v>
      </c>
      <c r="B31" s="20" t="s">
        <v>27</v>
      </c>
      <c r="C31" s="20" t="s">
        <v>512</v>
      </c>
      <c r="D31" s="20" t="s">
        <v>259</v>
      </c>
      <c r="E31" s="20"/>
      <c r="F31" s="20" t="s">
        <v>28</v>
      </c>
      <c r="G31" s="32">
        <v>26712445</v>
      </c>
      <c r="H31" s="20" t="s">
        <v>238</v>
      </c>
      <c r="I31" s="20" t="s">
        <v>239</v>
      </c>
      <c r="J31" s="20" t="s">
        <v>181</v>
      </c>
      <c r="K31" s="22" t="s">
        <v>240</v>
      </c>
      <c r="L31" s="20" t="s">
        <v>29</v>
      </c>
      <c r="M31" s="23" t="s">
        <v>278</v>
      </c>
      <c r="N31" s="20" t="s">
        <v>367</v>
      </c>
      <c r="O31" s="24" t="s">
        <v>232</v>
      </c>
      <c r="P31" s="20" t="s">
        <v>30</v>
      </c>
      <c r="Q31" s="20" t="s">
        <v>27</v>
      </c>
      <c r="R31" s="25" t="s">
        <v>32</v>
      </c>
      <c r="S31" s="20">
        <v>20601242657</v>
      </c>
      <c r="T31" s="20" t="s">
        <v>33</v>
      </c>
      <c r="U31" s="20" t="s">
        <v>123</v>
      </c>
      <c r="V31" s="20" t="s">
        <v>160</v>
      </c>
      <c r="W31" s="20" t="s">
        <v>31</v>
      </c>
      <c r="X31" s="26" t="s">
        <v>220</v>
      </c>
      <c r="Y31" s="26" t="s">
        <v>31</v>
      </c>
      <c r="Z31" s="26" t="s">
        <v>31</v>
      </c>
      <c r="AA31" s="26" t="s">
        <v>31</v>
      </c>
      <c r="AB31" s="26">
        <v>47</v>
      </c>
      <c r="AC31" s="27" t="s">
        <v>36</v>
      </c>
      <c r="AD31" s="27" t="s">
        <v>34</v>
      </c>
      <c r="AE31" s="27"/>
      <c r="AF31" s="27"/>
      <c r="AG31" s="27"/>
      <c r="AH31" s="27"/>
      <c r="AI31" s="27"/>
      <c r="AJ31" s="27"/>
      <c r="AK31" s="27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</row>
    <row r="32" spans="1:706" s="28" customFormat="1" hidden="1" x14ac:dyDescent="0.25">
      <c r="A32" s="20">
        <v>46</v>
      </c>
      <c r="B32" s="20" t="s">
        <v>27</v>
      </c>
      <c r="C32" s="20" t="s">
        <v>512</v>
      </c>
      <c r="D32" s="20" t="s">
        <v>241</v>
      </c>
      <c r="E32" s="20"/>
      <c r="F32" s="20" t="s">
        <v>28</v>
      </c>
      <c r="G32" s="20">
        <v>75398571</v>
      </c>
      <c r="H32" s="20" t="s">
        <v>242</v>
      </c>
      <c r="I32" s="20" t="s">
        <v>63</v>
      </c>
      <c r="J32" s="20" t="s">
        <v>243</v>
      </c>
      <c r="K32" s="22" t="s">
        <v>234</v>
      </c>
      <c r="L32" s="20" t="s">
        <v>29</v>
      </c>
      <c r="M32" s="23" t="s">
        <v>235</v>
      </c>
      <c r="N32" s="20">
        <v>970113210</v>
      </c>
      <c r="O32" s="24" t="s">
        <v>232</v>
      </c>
      <c r="P32" s="20" t="s">
        <v>30</v>
      </c>
      <c r="Q32" s="20" t="s">
        <v>27</v>
      </c>
      <c r="R32" s="25" t="s">
        <v>32</v>
      </c>
      <c r="S32" s="20">
        <v>20601242657</v>
      </c>
      <c r="T32" s="20" t="s">
        <v>33</v>
      </c>
      <c r="U32" s="20" t="s">
        <v>123</v>
      </c>
      <c r="V32" s="20" t="s">
        <v>237</v>
      </c>
      <c r="W32" s="20" t="s">
        <v>45</v>
      </c>
      <c r="X32" s="26" t="s">
        <v>332</v>
      </c>
      <c r="Y32" s="26" t="s">
        <v>236</v>
      </c>
      <c r="Z32" s="26" t="s">
        <v>203</v>
      </c>
      <c r="AA32" s="26" t="s">
        <v>45</v>
      </c>
      <c r="AB32" s="26">
        <v>24</v>
      </c>
      <c r="AC32" s="27" t="s">
        <v>36</v>
      </c>
      <c r="AD32" s="27" t="s">
        <v>34</v>
      </c>
      <c r="AE32" s="27"/>
      <c r="AF32" s="27"/>
      <c r="AG32" s="27"/>
      <c r="AH32" s="27"/>
      <c r="AI32" s="27"/>
      <c r="AJ32" s="27"/>
      <c r="AK32" s="27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</row>
    <row r="33" spans="1:706" s="28" customFormat="1" hidden="1" x14ac:dyDescent="0.25">
      <c r="A33" s="20">
        <v>47</v>
      </c>
      <c r="B33" s="20" t="s">
        <v>27</v>
      </c>
      <c r="C33" s="20" t="s">
        <v>512</v>
      </c>
      <c r="D33" s="20" t="s">
        <v>257</v>
      </c>
      <c r="E33" s="20"/>
      <c r="F33" s="20" t="s">
        <v>28</v>
      </c>
      <c r="G33" s="20">
        <v>45635754</v>
      </c>
      <c r="H33" s="20" t="s">
        <v>244</v>
      </c>
      <c r="I33" s="20" t="s">
        <v>150</v>
      </c>
      <c r="J33" s="20" t="s">
        <v>245</v>
      </c>
      <c r="K33" s="22" t="s">
        <v>246</v>
      </c>
      <c r="L33" s="20" t="s">
        <v>29</v>
      </c>
      <c r="M33" s="23" t="s">
        <v>247</v>
      </c>
      <c r="N33" s="20"/>
      <c r="O33" s="24" t="s">
        <v>232</v>
      </c>
      <c r="P33" s="20" t="s">
        <v>30</v>
      </c>
      <c r="Q33" s="20" t="s">
        <v>27</v>
      </c>
      <c r="R33" s="25" t="s">
        <v>32</v>
      </c>
      <c r="S33" s="20">
        <v>20601242657</v>
      </c>
      <c r="T33" s="20" t="s">
        <v>33</v>
      </c>
      <c r="U33" s="20" t="s">
        <v>123</v>
      </c>
      <c r="V33" s="20" t="s">
        <v>147</v>
      </c>
      <c r="W33" s="20" t="s">
        <v>45</v>
      </c>
      <c r="X33" s="26" t="s">
        <v>248</v>
      </c>
      <c r="Y33" s="26" t="s">
        <v>249</v>
      </c>
      <c r="Z33" s="26" t="s">
        <v>203</v>
      </c>
      <c r="AA33" s="26" t="s">
        <v>45</v>
      </c>
      <c r="AB33" s="26">
        <v>34</v>
      </c>
      <c r="AC33" s="27" t="s">
        <v>36</v>
      </c>
      <c r="AD33" s="27" t="s">
        <v>34</v>
      </c>
      <c r="AE33" s="27"/>
      <c r="AF33" s="27"/>
      <c r="AG33" s="27"/>
      <c r="AH33" s="27"/>
      <c r="AI33" s="27"/>
      <c r="AJ33" s="27"/>
      <c r="AK33" s="27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</row>
    <row r="34" spans="1:706" s="28" customFormat="1" hidden="1" x14ac:dyDescent="0.25">
      <c r="A34" s="20">
        <v>48</v>
      </c>
      <c r="B34" s="20" t="s">
        <v>27</v>
      </c>
      <c r="C34" s="20" t="s">
        <v>512</v>
      </c>
      <c r="D34" s="20" t="s">
        <v>250</v>
      </c>
      <c r="E34" s="20"/>
      <c r="F34" s="20" t="s">
        <v>28</v>
      </c>
      <c r="G34" s="20">
        <v>71770675</v>
      </c>
      <c r="H34" s="20" t="s">
        <v>93</v>
      </c>
      <c r="I34" s="20" t="s">
        <v>206</v>
      </c>
      <c r="J34" s="20" t="s">
        <v>261</v>
      </c>
      <c r="K34" s="22" t="s">
        <v>262</v>
      </c>
      <c r="L34" s="20" t="s">
        <v>29</v>
      </c>
      <c r="M34" s="23" t="s">
        <v>267</v>
      </c>
      <c r="N34" s="20"/>
      <c r="O34" s="24" t="s">
        <v>232</v>
      </c>
      <c r="P34" s="20" t="s">
        <v>30</v>
      </c>
      <c r="Q34" s="20" t="s">
        <v>27</v>
      </c>
      <c r="R34" s="25" t="s">
        <v>32</v>
      </c>
      <c r="S34" s="20">
        <v>20601242657</v>
      </c>
      <c r="T34" s="20" t="s">
        <v>33</v>
      </c>
      <c r="U34" s="20" t="s">
        <v>123</v>
      </c>
      <c r="V34" s="20" t="s">
        <v>147</v>
      </c>
      <c r="W34" s="20" t="s">
        <v>31</v>
      </c>
      <c r="X34" s="26" t="s">
        <v>263</v>
      </c>
      <c r="Y34" s="26" t="s">
        <v>31</v>
      </c>
      <c r="Z34" s="26" t="s">
        <v>31</v>
      </c>
      <c r="AA34" s="26" t="s">
        <v>31</v>
      </c>
      <c r="AB34" s="26">
        <v>22</v>
      </c>
      <c r="AC34" s="27" t="s">
        <v>36</v>
      </c>
      <c r="AD34" s="27" t="s">
        <v>34</v>
      </c>
      <c r="AE34" s="27"/>
      <c r="AF34" s="27"/>
      <c r="AG34" s="27"/>
      <c r="AH34" s="27"/>
      <c r="AI34" s="27"/>
      <c r="AJ34" s="27"/>
      <c r="AK34" s="27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</row>
    <row r="35" spans="1:706" s="28" customFormat="1" hidden="1" x14ac:dyDescent="0.25">
      <c r="A35" s="20">
        <v>49</v>
      </c>
      <c r="B35" s="20" t="s">
        <v>27</v>
      </c>
      <c r="C35" s="20" t="s">
        <v>512</v>
      </c>
      <c r="D35" s="20" t="s">
        <v>290</v>
      </c>
      <c r="E35" s="20"/>
      <c r="F35" s="20" t="s">
        <v>28</v>
      </c>
      <c r="G35" s="20">
        <v>76649315</v>
      </c>
      <c r="H35" s="20" t="s">
        <v>107</v>
      </c>
      <c r="I35" s="20" t="s">
        <v>55</v>
      </c>
      <c r="J35" s="20" t="s">
        <v>74</v>
      </c>
      <c r="K35" s="22" t="s">
        <v>335</v>
      </c>
      <c r="L35" s="20" t="s">
        <v>29</v>
      </c>
      <c r="M35" s="23" t="s">
        <v>360</v>
      </c>
      <c r="N35" s="20"/>
      <c r="O35" s="24" t="s">
        <v>232</v>
      </c>
      <c r="P35" s="20" t="s">
        <v>30</v>
      </c>
      <c r="Q35" s="20" t="s">
        <v>27</v>
      </c>
      <c r="R35" s="25" t="s">
        <v>32</v>
      </c>
      <c r="S35" s="20">
        <v>20601242657</v>
      </c>
      <c r="T35" s="20" t="s">
        <v>33</v>
      </c>
      <c r="U35" s="20" t="s">
        <v>123</v>
      </c>
      <c r="V35" s="20" t="s">
        <v>147</v>
      </c>
      <c r="W35" s="20" t="s">
        <v>31</v>
      </c>
      <c r="X35" s="26" t="s">
        <v>336</v>
      </c>
      <c r="Y35" s="26" t="s">
        <v>31</v>
      </c>
      <c r="Z35" s="26" t="s">
        <v>31</v>
      </c>
      <c r="AA35" s="26" t="s">
        <v>31</v>
      </c>
      <c r="AB35" s="26">
        <v>34</v>
      </c>
      <c r="AC35" s="27" t="s">
        <v>36</v>
      </c>
      <c r="AD35" s="27" t="s">
        <v>34</v>
      </c>
      <c r="AE35" s="27"/>
      <c r="AF35" s="27"/>
      <c r="AG35" s="27"/>
      <c r="AH35" s="27"/>
      <c r="AI35" s="27"/>
      <c r="AJ35" s="27"/>
      <c r="AK35" s="27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</row>
    <row r="36" spans="1:706" s="28" customFormat="1" hidden="1" x14ac:dyDescent="0.25">
      <c r="A36" s="20">
        <v>50</v>
      </c>
      <c r="B36" s="20" t="s">
        <v>27</v>
      </c>
      <c r="C36" s="20" t="s">
        <v>512</v>
      </c>
      <c r="D36" s="20" t="s">
        <v>290</v>
      </c>
      <c r="E36" s="20"/>
      <c r="F36" s="20" t="s">
        <v>28</v>
      </c>
      <c r="G36" s="20">
        <v>71401277</v>
      </c>
      <c r="H36" s="20" t="s">
        <v>337</v>
      </c>
      <c r="I36" s="20" t="s">
        <v>338</v>
      </c>
      <c r="J36" s="20" t="s">
        <v>339</v>
      </c>
      <c r="K36" s="22" t="s">
        <v>340</v>
      </c>
      <c r="L36" s="20" t="s">
        <v>29</v>
      </c>
      <c r="M36" s="23" t="s">
        <v>341</v>
      </c>
      <c r="N36" s="20"/>
      <c r="O36" s="24" t="s">
        <v>232</v>
      </c>
      <c r="P36" s="20" t="s">
        <v>30</v>
      </c>
      <c r="Q36" s="20" t="s">
        <v>27</v>
      </c>
      <c r="R36" s="25" t="s">
        <v>32</v>
      </c>
      <c r="S36" s="20">
        <v>20601242657</v>
      </c>
      <c r="T36" s="20" t="s">
        <v>33</v>
      </c>
      <c r="U36" s="20" t="s">
        <v>123</v>
      </c>
      <c r="V36" s="20" t="s">
        <v>147</v>
      </c>
      <c r="W36" s="20" t="s">
        <v>31</v>
      </c>
      <c r="X36" s="26" t="s">
        <v>342</v>
      </c>
      <c r="Y36" s="26" t="s">
        <v>31</v>
      </c>
      <c r="Z36" s="26" t="s">
        <v>31</v>
      </c>
      <c r="AA36" s="26" t="s">
        <v>31</v>
      </c>
      <c r="AB36" s="26">
        <v>21</v>
      </c>
      <c r="AC36" s="27" t="s">
        <v>36</v>
      </c>
      <c r="AD36" s="27" t="s">
        <v>34</v>
      </c>
      <c r="AE36" s="27"/>
      <c r="AF36" s="27"/>
      <c r="AG36" s="27"/>
      <c r="AH36" s="27"/>
      <c r="AI36" s="27"/>
      <c r="AJ36" s="27"/>
      <c r="AK36" s="27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</row>
    <row r="37" spans="1:706" s="28" customFormat="1" hidden="1" x14ac:dyDescent="0.25">
      <c r="A37" s="20">
        <v>51</v>
      </c>
      <c r="B37" s="20" t="s">
        <v>27</v>
      </c>
      <c r="C37" s="20" t="s">
        <v>512</v>
      </c>
      <c r="D37" s="20" t="s">
        <v>290</v>
      </c>
      <c r="E37" s="20"/>
      <c r="F37" s="20" t="s">
        <v>28</v>
      </c>
      <c r="G37" s="20">
        <v>48479682</v>
      </c>
      <c r="H37" s="20" t="s">
        <v>343</v>
      </c>
      <c r="I37" s="20" t="s">
        <v>344</v>
      </c>
      <c r="J37" s="20" t="s">
        <v>345</v>
      </c>
      <c r="K37" s="22" t="s">
        <v>346</v>
      </c>
      <c r="L37" s="20" t="s">
        <v>29</v>
      </c>
      <c r="M37" s="23" t="s">
        <v>347</v>
      </c>
      <c r="N37" s="20"/>
      <c r="O37" s="24" t="s">
        <v>232</v>
      </c>
      <c r="P37" s="20" t="s">
        <v>30</v>
      </c>
      <c r="Q37" s="20" t="s">
        <v>27</v>
      </c>
      <c r="R37" s="25" t="s">
        <v>32</v>
      </c>
      <c r="S37" s="20">
        <v>20601242657</v>
      </c>
      <c r="T37" s="20" t="s">
        <v>33</v>
      </c>
      <c r="U37" s="20" t="s">
        <v>123</v>
      </c>
      <c r="V37" s="20" t="s">
        <v>147</v>
      </c>
      <c r="W37" s="20" t="s">
        <v>31</v>
      </c>
      <c r="X37" s="26" t="s">
        <v>207</v>
      </c>
      <c r="Y37" s="26" t="s">
        <v>31</v>
      </c>
      <c r="Z37" s="26" t="s">
        <v>31</v>
      </c>
      <c r="AA37" s="26" t="s">
        <v>31</v>
      </c>
      <c r="AB37" s="26">
        <v>26</v>
      </c>
      <c r="AC37" s="27" t="s">
        <v>36</v>
      </c>
      <c r="AD37" s="27" t="s">
        <v>34</v>
      </c>
      <c r="AE37" s="27"/>
      <c r="AF37" s="27"/>
      <c r="AG37" s="27"/>
      <c r="AH37" s="27"/>
      <c r="AI37" s="27"/>
      <c r="AJ37" s="27"/>
      <c r="AK37" s="27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</row>
    <row r="38" spans="1:706" s="28" customFormat="1" hidden="1" x14ac:dyDescent="0.25">
      <c r="A38" s="20">
        <v>52</v>
      </c>
      <c r="B38" s="20" t="s">
        <v>27</v>
      </c>
      <c r="C38" s="20" t="s">
        <v>512</v>
      </c>
      <c r="D38" s="20" t="s">
        <v>290</v>
      </c>
      <c r="E38" s="20"/>
      <c r="F38" s="20" t="s">
        <v>28</v>
      </c>
      <c r="G38" s="20">
        <v>63410203</v>
      </c>
      <c r="H38" s="20" t="s">
        <v>354</v>
      </c>
      <c r="I38" s="20" t="s">
        <v>355</v>
      </c>
      <c r="J38" s="20" t="s">
        <v>356</v>
      </c>
      <c r="K38" s="22" t="s">
        <v>357</v>
      </c>
      <c r="L38" s="20" t="s">
        <v>29</v>
      </c>
      <c r="M38" s="23" t="s">
        <v>359</v>
      </c>
      <c r="N38" s="20"/>
      <c r="O38" s="24" t="s">
        <v>232</v>
      </c>
      <c r="P38" s="20" t="s">
        <v>30</v>
      </c>
      <c r="Q38" s="20" t="s">
        <v>27</v>
      </c>
      <c r="R38" s="25" t="s">
        <v>32</v>
      </c>
      <c r="S38" s="20">
        <v>20601242657</v>
      </c>
      <c r="T38" s="20" t="s">
        <v>33</v>
      </c>
      <c r="U38" s="20" t="s">
        <v>123</v>
      </c>
      <c r="V38" s="20" t="s">
        <v>147</v>
      </c>
      <c r="W38" s="20" t="s">
        <v>45</v>
      </c>
      <c r="X38" s="26" t="s">
        <v>358</v>
      </c>
      <c r="Y38" s="26" t="s">
        <v>34</v>
      </c>
      <c r="Z38" s="26" t="s">
        <v>34</v>
      </c>
      <c r="AA38" s="26" t="s">
        <v>45</v>
      </c>
      <c r="AB38" s="26">
        <v>21</v>
      </c>
      <c r="AC38" s="27" t="s">
        <v>36</v>
      </c>
      <c r="AD38" s="27" t="s">
        <v>34</v>
      </c>
      <c r="AE38" s="27"/>
      <c r="AF38" s="27"/>
      <c r="AG38" s="27"/>
      <c r="AH38" s="27"/>
      <c r="AI38" s="27"/>
      <c r="AJ38" s="27"/>
      <c r="AK38" s="27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</row>
    <row r="39" spans="1:706" s="28" customFormat="1" hidden="1" x14ac:dyDescent="0.25">
      <c r="A39" s="20">
        <v>55</v>
      </c>
      <c r="B39" s="20" t="s">
        <v>27</v>
      </c>
      <c r="C39" s="20" t="s">
        <v>512</v>
      </c>
      <c r="D39" s="20" t="s">
        <v>288</v>
      </c>
      <c r="E39" s="20"/>
      <c r="F39" s="20" t="s">
        <v>28</v>
      </c>
      <c r="G39" s="20">
        <v>46975532</v>
      </c>
      <c r="H39" s="20" t="s">
        <v>348</v>
      </c>
      <c r="I39" s="20" t="s">
        <v>55</v>
      </c>
      <c r="J39" s="20" t="s">
        <v>349</v>
      </c>
      <c r="K39" s="22" t="s">
        <v>350</v>
      </c>
      <c r="L39" s="20" t="s">
        <v>29</v>
      </c>
      <c r="M39" s="23" t="s">
        <v>351</v>
      </c>
      <c r="N39" s="20">
        <v>976192265</v>
      </c>
      <c r="O39" s="24" t="s">
        <v>232</v>
      </c>
      <c r="P39" s="20" t="s">
        <v>30</v>
      </c>
      <c r="Q39" s="20" t="s">
        <v>27</v>
      </c>
      <c r="R39" s="25" t="s">
        <v>32</v>
      </c>
      <c r="S39" s="20">
        <v>20601242657</v>
      </c>
      <c r="T39" s="20" t="s">
        <v>33</v>
      </c>
      <c r="U39" s="20" t="s">
        <v>123</v>
      </c>
      <c r="V39" s="20" t="s">
        <v>352</v>
      </c>
      <c r="W39" s="20" t="s">
        <v>31</v>
      </c>
      <c r="X39" s="26" t="s">
        <v>353</v>
      </c>
      <c r="Y39" s="26" t="s">
        <v>31</v>
      </c>
      <c r="Z39" s="26" t="s">
        <v>31</v>
      </c>
      <c r="AA39" s="26" t="s">
        <v>31</v>
      </c>
      <c r="AB39" s="26">
        <v>29</v>
      </c>
      <c r="AC39" s="27" t="s">
        <v>36</v>
      </c>
      <c r="AD39" s="27" t="s">
        <v>34</v>
      </c>
      <c r="AE39" s="27"/>
      <c r="AF39" s="27"/>
      <c r="AG39" s="27"/>
      <c r="AH39" s="27"/>
      <c r="AI39" s="27"/>
      <c r="AJ39" s="27"/>
      <c r="AK39" s="27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</row>
    <row r="40" spans="1:706" s="28" customFormat="1" hidden="1" x14ac:dyDescent="0.25">
      <c r="A40" s="20">
        <v>58</v>
      </c>
      <c r="B40" s="20" t="s">
        <v>27</v>
      </c>
      <c r="C40" s="20" t="s">
        <v>512</v>
      </c>
      <c r="D40" s="20" t="s">
        <v>377</v>
      </c>
      <c r="E40" s="20"/>
      <c r="F40" s="20" t="s">
        <v>28</v>
      </c>
      <c r="G40" s="20">
        <v>72414296</v>
      </c>
      <c r="H40" s="20" t="s">
        <v>304</v>
      </c>
      <c r="I40" s="20" t="s">
        <v>306</v>
      </c>
      <c r="J40" s="20" t="s">
        <v>305</v>
      </c>
      <c r="K40" s="22" t="s">
        <v>307</v>
      </c>
      <c r="L40" s="20" t="s">
        <v>29</v>
      </c>
      <c r="M40" s="23" t="s">
        <v>308</v>
      </c>
      <c r="N40" s="20">
        <v>954790315</v>
      </c>
      <c r="O40" s="24" t="s">
        <v>232</v>
      </c>
      <c r="P40" s="20" t="s">
        <v>30</v>
      </c>
      <c r="Q40" s="20" t="s">
        <v>27</v>
      </c>
      <c r="R40" s="31" t="s">
        <v>32</v>
      </c>
      <c r="S40" s="20">
        <v>20601242657</v>
      </c>
      <c r="T40" s="20" t="s">
        <v>33</v>
      </c>
      <c r="U40" s="20" t="s">
        <v>123</v>
      </c>
      <c r="V40" s="20" t="s">
        <v>147</v>
      </c>
      <c r="W40" s="20" t="s">
        <v>31</v>
      </c>
      <c r="X40" s="26" t="s">
        <v>309</v>
      </c>
      <c r="Y40" s="26" t="s">
        <v>31</v>
      </c>
      <c r="Z40" s="26" t="s">
        <v>31</v>
      </c>
      <c r="AA40" s="26" t="s">
        <v>31</v>
      </c>
      <c r="AB40" s="26">
        <v>20</v>
      </c>
      <c r="AC40" s="27" t="s">
        <v>36</v>
      </c>
      <c r="AD40" s="27" t="s">
        <v>34</v>
      </c>
      <c r="AE40" s="27"/>
      <c r="AF40" s="27"/>
      <c r="AG40" s="27"/>
      <c r="AH40" s="27"/>
      <c r="AI40" s="27"/>
      <c r="AJ40" s="27"/>
      <c r="AK40" s="27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</row>
    <row r="41" spans="1:706" s="28" customFormat="1" hidden="1" x14ac:dyDescent="0.25">
      <c r="A41" s="20">
        <v>59</v>
      </c>
      <c r="B41" s="20" t="s">
        <v>27</v>
      </c>
      <c r="C41" s="20" t="s">
        <v>512</v>
      </c>
      <c r="D41" s="20" t="s">
        <v>381</v>
      </c>
      <c r="E41" s="20"/>
      <c r="F41" s="20" t="s">
        <v>28</v>
      </c>
      <c r="G41" s="20">
        <v>70845004</v>
      </c>
      <c r="H41" s="20" t="s">
        <v>310</v>
      </c>
      <c r="I41" s="20" t="s">
        <v>395</v>
      </c>
      <c r="J41" s="20" t="s">
        <v>311</v>
      </c>
      <c r="K41" s="22" t="s">
        <v>312</v>
      </c>
      <c r="L41" s="20" t="s">
        <v>29</v>
      </c>
      <c r="M41" s="21">
        <v>36326</v>
      </c>
      <c r="N41" s="20">
        <v>912855776</v>
      </c>
      <c r="O41" s="24" t="s">
        <v>232</v>
      </c>
      <c r="P41" s="20" t="s">
        <v>30</v>
      </c>
      <c r="Q41" s="20" t="s">
        <v>27</v>
      </c>
      <c r="R41" s="31" t="s">
        <v>32</v>
      </c>
      <c r="S41" s="20">
        <v>20601242657</v>
      </c>
      <c r="T41" s="20" t="s">
        <v>33</v>
      </c>
      <c r="U41" s="20" t="s">
        <v>123</v>
      </c>
      <c r="V41" s="20" t="s">
        <v>147</v>
      </c>
      <c r="W41" s="20" t="s">
        <v>45</v>
      </c>
      <c r="X41" s="26" t="s">
        <v>313</v>
      </c>
      <c r="Y41" s="26" t="s">
        <v>202</v>
      </c>
      <c r="Z41" s="26" t="s">
        <v>203</v>
      </c>
      <c r="AA41" s="26" t="s">
        <v>45</v>
      </c>
      <c r="AB41" s="26">
        <v>22</v>
      </c>
      <c r="AC41" s="27" t="s">
        <v>36</v>
      </c>
      <c r="AD41" s="27" t="s">
        <v>34</v>
      </c>
      <c r="AE41" s="27"/>
      <c r="AF41" s="27"/>
      <c r="AG41" s="27"/>
      <c r="AH41" s="27"/>
      <c r="AI41" s="27"/>
      <c r="AJ41" s="27"/>
      <c r="AK41" s="27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</row>
    <row r="42" spans="1:706" s="28" customFormat="1" hidden="1" x14ac:dyDescent="0.25">
      <c r="A42" s="20">
        <v>60</v>
      </c>
      <c r="B42" s="20" t="s">
        <v>27</v>
      </c>
      <c r="C42" s="20" t="s">
        <v>512</v>
      </c>
      <c r="D42" s="20" t="s">
        <v>378</v>
      </c>
      <c r="E42" s="20"/>
      <c r="F42" s="20" t="s">
        <v>28</v>
      </c>
      <c r="G42" s="20">
        <v>73363131</v>
      </c>
      <c r="H42" s="20" t="s">
        <v>91</v>
      </c>
      <c r="I42" s="20" t="s">
        <v>363</v>
      </c>
      <c r="J42" s="20" t="s">
        <v>376</v>
      </c>
      <c r="K42" s="22" t="s">
        <v>364</v>
      </c>
      <c r="L42" s="20" t="s">
        <v>29</v>
      </c>
      <c r="M42" s="33" t="s">
        <v>365</v>
      </c>
      <c r="N42" s="20">
        <v>974550672</v>
      </c>
      <c r="O42" s="24" t="s">
        <v>232</v>
      </c>
      <c r="P42" s="20" t="s">
        <v>30</v>
      </c>
      <c r="Q42" s="20" t="s">
        <v>27</v>
      </c>
      <c r="R42" s="31" t="s">
        <v>32</v>
      </c>
      <c r="S42" s="20">
        <v>20601242657</v>
      </c>
      <c r="T42" s="20" t="s">
        <v>33</v>
      </c>
      <c r="U42" s="20" t="s">
        <v>123</v>
      </c>
      <c r="V42" s="20" t="s">
        <v>147</v>
      </c>
      <c r="W42" s="20" t="s">
        <v>31</v>
      </c>
      <c r="X42" s="26" t="s">
        <v>366</v>
      </c>
      <c r="Y42" s="26" t="s">
        <v>31</v>
      </c>
      <c r="Z42" s="26" t="s">
        <v>31</v>
      </c>
      <c r="AA42" s="26" t="s">
        <v>31</v>
      </c>
      <c r="AB42" s="26">
        <v>26</v>
      </c>
      <c r="AC42" s="27" t="s">
        <v>36</v>
      </c>
      <c r="AD42" s="27" t="s">
        <v>34</v>
      </c>
      <c r="AE42" s="27"/>
      <c r="AF42" s="27"/>
      <c r="AG42" s="27"/>
      <c r="AH42" s="27"/>
      <c r="AI42" s="27"/>
      <c r="AJ42" s="27"/>
      <c r="AK42" s="27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</row>
    <row r="43" spans="1:706" s="28" customFormat="1" hidden="1" x14ac:dyDescent="0.25">
      <c r="A43" s="20">
        <v>61</v>
      </c>
      <c r="B43" s="20" t="s">
        <v>27</v>
      </c>
      <c r="C43" s="20" t="s">
        <v>512</v>
      </c>
      <c r="D43" s="20" t="s">
        <v>379</v>
      </c>
      <c r="E43" s="20"/>
      <c r="F43" s="20" t="s">
        <v>28</v>
      </c>
      <c r="G43" s="20">
        <v>71436970</v>
      </c>
      <c r="H43" s="20" t="s">
        <v>69</v>
      </c>
      <c r="I43" s="20" t="s">
        <v>54</v>
      </c>
      <c r="J43" s="20" t="s">
        <v>368</v>
      </c>
      <c r="K43" s="22" t="s">
        <v>369</v>
      </c>
      <c r="L43" s="20" t="s">
        <v>29</v>
      </c>
      <c r="M43" s="33" t="s">
        <v>370</v>
      </c>
      <c r="N43" s="20">
        <v>944372263</v>
      </c>
      <c r="O43" s="24" t="s">
        <v>232</v>
      </c>
      <c r="P43" s="20" t="s">
        <v>30</v>
      </c>
      <c r="Q43" s="20" t="s">
        <v>27</v>
      </c>
      <c r="R43" s="31" t="s">
        <v>32</v>
      </c>
      <c r="S43" s="20">
        <v>20601242657</v>
      </c>
      <c r="T43" s="20" t="s">
        <v>33</v>
      </c>
      <c r="U43" s="20" t="s">
        <v>123</v>
      </c>
      <c r="V43" s="20" t="s">
        <v>147</v>
      </c>
      <c r="W43" s="20" t="s">
        <v>31</v>
      </c>
      <c r="X43" s="26" t="s">
        <v>371</v>
      </c>
      <c r="Y43" s="26" t="s">
        <v>31</v>
      </c>
      <c r="Z43" s="26" t="s">
        <v>31</v>
      </c>
      <c r="AA43" s="26" t="s">
        <v>31</v>
      </c>
      <c r="AB43" s="26">
        <v>24</v>
      </c>
      <c r="AC43" s="27" t="s">
        <v>36</v>
      </c>
      <c r="AD43" s="27" t="s">
        <v>34</v>
      </c>
      <c r="AE43" s="27"/>
      <c r="AF43" s="27"/>
      <c r="AG43" s="27"/>
      <c r="AH43" s="27"/>
      <c r="AI43" s="27"/>
      <c r="AJ43" s="27"/>
      <c r="AK43" s="27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</row>
    <row r="44" spans="1:706" s="28" customFormat="1" hidden="1" x14ac:dyDescent="0.25">
      <c r="A44" s="20">
        <v>63</v>
      </c>
      <c r="B44" s="20" t="s">
        <v>27</v>
      </c>
      <c r="C44" s="20" t="s">
        <v>512</v>
      </c>
      <c r="D44" s="20" t="s">
        <v>394</v>
      </c>
      <c r="E44" s="20"/>
      <c r="F44" s="20" t="s">
        <v>28</v>
      </c>
      <c r="G44" s="20">
        <v>47361113</v>
      </c>
      <c r="H44" s="20" t="s">
        <v>383</v>
      </c>
      <c r="I44" s="20" t="s">
        <v>196</v>
      </c>
      <c r="J44" s="20" t="s">
        <v>382</v>
      </c>
      <c r="K44" s="22" t="s">
        <v>384</v>
      </c>
      <c r="L44" s="20" t="s">
        <v>29</v>
      </c>
      <c r="M44" s="21">
        <v>33859</v>
      </c>
      <c r="N44" s="20">
        <v>991547534</v>
      </c>
      <c r="O44" s="24" t="s">
        <v>232</v>
      </c>
      <c r="P44" s="20" t="s">
        <v>30</v>
      </c>
      <c r="Q44" s="20" t="s">
        <v>27</v>
      </c>
      <c r="R44" s="31" t="s">
        <v>32</v>
      </c>
      <c r="S44" s="20">
        <v>20601242657</v>
      </c>
      <c r="T44" s="20" t="s">
        <v>33</v>
      </c>
      <c r="U44" s="20" t="s">
        <v>123</v>
      </c>
      <c r="V44" s="20" t="s">
        <v>147</v>
      </c>
      <c r="W44" s="20" t="s">
        <v>31</v>
      </c>
      <c r="X44" s="26" t="s">
        <v>391</v>
      </c>
      <c r="Y44" s="26" t="s">
        <v>31</v>
      </c>
      <c r="Z44" s="26" t="s">
        <v>31</v>
      </c>
      <c r="AA44" s="26" t="s">
        <v>31</v>
      </c>
      <c r="AB44" s="26">
        <v>29</v>
      </c>
      <c r="AC44" s="27" t="s">
        <v>36</v>
      </c>
      <c r="AD44" s="27" t="s">
        <v>34</v>
      </c>
      <c r="AE44" s="27"/>
      <c r="AF44" s="27"/>
      <c r="AG44" s="27"/>
      <c r="AH44" s="27"/>
      <c r="AI44" s="27"/>
      <c r="AJ44" s="27"/>
      <c r="AK44" s="27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</row>
    <row r="45" spans="1:706" s="28" customFormat="1" hidden="1" x14ac:dyDescent="0.25">
      <c r="A45" s="20">
        <v>64</v>
      </c>
      <c r="B45" s="20" t="s">
        <v>27</v>
      </c>
      <c r="C45" s="20" t="s">
        <v>512</v>
      </c>
      <c r="D45" s="20" t="s">
        <v>396</v>
      </c>
      <c r="E45" s="20"/>
      <c r="F45" s="20" t="s">
        <v>28</v>
      </c>
      <c r="G45" s="20">
        <v>41420730</v>
      </c>
      <c r="H45" s="20" t="s">
        <v>107</v>
      </c>
      <c r="I45" s="20" t="s">
        <v>385</v>
      </c>
      <c r="J45" s="20" t="s">
        <v>387</v>
      </c>
      <c r="K45" s="22" t="s">
        <v>386</v>
      </c>
      <c r="L45" s="20" t="s">
        <v>29</v>
      </c>
      <c r="M45" s="21">
        <v>33646</v>
      </c>
      <c r="N45" s="20">
        <v>934849030</v>
      </c>
      <c r="O45" s="24" t="s">
        <v>232</v>
      </c>
      <c r="P45" s="20" t="s">
        <v>30</v>
      </c>
      <c r="Q45" s="20" t="s">
        <v>27</v>
      </c>
      <c r="R45" s="31" t="s">
        <v>32</v>
      </c>
      <c r="S45" s="20">
        <v>20601242657</v>
      </c>
      <c r="T45" s="20" t="s">
        <v>33</v>
      </c>
      <c r="U45" s="20" t="s">
        <v>123</v>
      </c>
      <c r="V45" s="20" t="s">
        <v>147</v>
      </c>
      <c r="W45" s="20" t="s">
        <v>31</v>
      </c>
      <c r="X45" s="26" t="s">
        <v>392</v>
      </c>
      <c r="Y45" s="26" t="s">
        <v>31</v>
      </c>
      <c r="Z45" s="26" t="s">
        <v>31</v>
      </c>
      <c r="AA45" s="26" t="s">
        <v>31</v>
      </c>
      <c r="AB45" s="26">
        <v>39</v>
      </c>
      <c r="AC45" s="27" t="s">
        <v>36</v>
      </c>
      <c r="AD45" s="27" t="s">
        <v>34</v>
      </c>
      <c r="AE45" s="27"/>
      <c r="AF45" s="27"/>
      <c r="AG45" s="27"/>
      <c r="AH45" s="27"/>
      <c r="AI45" s="27"/>
      <c r="AJ45" s="27"/>
      <c r="AK45" s="27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</row>
    <row r="46" spans="1:706" s="28" customFormat="1" hidden="1" x14ac:dyDescent="0.25">
      <c r="A46" s="20">
        <v>65</v>
      </c>
      <c r="B46" s="20" t="s">
        <v>27</v>
      </c>
      <c r="C46" s="20" t="s">
        <v>512</v>
      </c>
      <c r="D46" s="20" t="s">
        <v>410</v>
      </c>
      <c r="E46" s="20"/>
      <c r="F46" s="20" t="s">
        <v>28</v>
      </c>
      <c r="G46" s="20">
        <v>43880138</v>
      </c>
      <c r="H46" s="20" t="s">
        <v>388</v>
      </c>
      <c r="I46" s="20" t="s">
        <v>72</v>
      </c>
      <c r="J46" s="20" t="s">
        <v>389</v>
      </c>
      <c r="K46" s="22" t="s">
        <v>390</v>
      </c>
      <c r="L46" s="20" t="s">
        <v>29</v>
      </c>
      <c r="M46" s="21">
        <v>27993</v>
      </c>
      <c r="N46" s="20">
        <v>913537952</v>
      </c>
      <c r="O46" s="24" t="s">
        <v>232</v>
      </c>
      <c r="P46" s="20" t="s">
        <v>30</v>
      </c>
      <c r="Q46" s="20" t="s">
        <v>27</v>
      </c>
      <c r="R46" s="31" t="s">
        <v>32</v>
      </c>
      <c r="S46" s="20">
        <v>20601242657</v>
      </c>
      <c r="T46" s="20" t="s">
        <v>33</v>
      </c>
      <c r="U46" s="20" t="s">
        <v>123</v>
      </c>
      <c r="V46" s="20" t="s">
        <v>147</v>
      </c>
      <c r="W46" s="20" t="s">
        <v>45</v>
      </c>
      <c r="X46" s="26" t="s">
        <v>393</v>
      </c>
      <c r="Y46" s="26" t="s">
        <v>202</v>
      </c>
      <c r="Z46" s="26" t="s">
        <v>34</v>
      </c>
      <c r="AA46" s="26" t="s">
        <v>45</v>
      </c>
      <c r="AB46" s="26">
        <v>45</v>
      </c>
      <c r="AC46" s="27" t="s">
        <v>36</v>
      </c>
      <c r="AD46" s="27" t="s">
        <v>34</v>
      </c>
      <c r="AE46" s="27"/>
      <c r="AF46" s="27"/>
      <c r="AG46" s="27"/>
      <c r="AH46" s="27"/>
      <c r="AI46" s="27"/>
      <c r="AJ46" s="27"/>
      <c r="AK46" s="27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</row>
    <row r="47" spans="1:706" s="28" customFormat="1" hidden="1" x14ac:dyDescent="0.25">
      <c r="A47" s="20">
        <v>68</v>
      </c>
      <c r="B47" s="20" t="s">
        <v>27</v>
      </c>
      <c r="C47" s="20" t="s">
        <v>512</v>
      </c>
      <c r="D47" s="20" t="s">
        <v>414</v>
      </c>
      <c r="E47" s="20"/>
      <c r="F47" s="20" t="s">
        <v>28</v>
      </c>
      <c r="G47" s="20">
        <v>26711159</v>
      </c>
      <c r="H47" s="20" t="s">
        <v>403</v>
      </c>
      <c r="I47" s="20" t="s">
        <v>404</v>
      </c>
      <c r="J47" s="20" t="s">
        <v>405</v>
      </c>
      <c r="K47" s="22" t="s">
        <v>406</v>
      </c>
      <c r="L47" s="20" t="s">
        <v>29</v>
      </c>
      <c r="M47" s="21">
        <v>27257</v>
      </c>
      <c r="N47" s="20">
        <v>964543972</v>
      </c>
      <c r="O47" s="24" t="s">
        <v>232</v>
      </c>
      <c r="P47" s="20" t="s">
        <v>30</v>
      </c>
      <c r="Q47" s="20" t="s">
        <v>27</v>
      </c>
      <c r="R47" s="31" t="s">
        <v>32</v>
      </c>
      <c r="S47" s="20">
        <v>20601242657</v>
      </c>
      <c r="T47" s="20" t="s">
        <v>33</v>
      </c>
      <c r="U47" s="20" t="s">
        <v>123</v>
      </c>
      <c r="V47" s="20" t="s">
        <v>407</v>
      </c>
      <c r="W47" s="20" t="s">
        <v>31</v>
      </c>
      <c r="X47" s="26" t="s">
        <v>409</v>
      </c>
      <c r="Y47" s="26" t="s">
        <v>31</v>
      </c>
      <c r="Z47" s="26" t="s">
        <v>31</v>
      </c>
      <c r="AA47" s="26" t="s">
        <v>31</v>
      </c>
      <c r="AB47" s="26">
        <v>47</v>
      </c>
      <c r="AC47" s="27" t="s">
        <v>36</v>
      </c>
      <c r="AD47" s="27" t="s">
        <v>34</v>
      </c>
      <c r="AE47" s="27"/>
      <c r="AF47" s="27"/>
      <c r="AG47" s="27"/>
      <c r="AH47" s="27"/>
      <c r="AI47" s="27"/>
      <c r="AJ47" s="27"/>
      <c r="AK47" s="27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</row>
    <row r="48" spans="1:706" s="28" customFormat="1" hidden="1" x14ac:dyDescent="0.25">
      <c r="A48" s="20">
        <v>76</v>
      </c>
      <c r="B48" s="20" t="s">
        <v>27</v>
      </c>
      <c r="C48" s="20" t="s">
        <v>512</v>
      </c>
      <c r="D48" s="20" t="s">
        <v>448</v>
      </c>
      <c r="E48" s="20"/>
      <c r="F48" s="20" t="s">
        <v>28</v>
      </c>
      <c r="G48" s="20">
        <v>77278232</v>
      </c>
      <c r="H48" s="20" t="s">
        <v>48</v>
      </c>
      <c r="I48" s="20" t="s">
        <v>444</v>
      </c>
      <c r="J48" s="20" t="s">
        <v>445</v>
      </c>
      <c r="K48" s="22" t="s">
        <v>446</v>
      </c>
      <c r="L48" s="20" t="s">
        <v>29</v>
      </c>
      <c r="M48" s="21">
        <v>34952</v>
      </c>
      <c r="N48" s="20">
        <v>988749368</v>
      </c>
      <c r="O48" s="24" t="s">
        <v>232</v>
      </c>
      <c r="P48" s="20" t="s">
        <v>30</v>
      </c>
      <c r="Q48" s="20" t="s">
        <v>27</v>
      </c>
      <c r="R48" s="31" t="s">
        <v>32</v>
      </c>
      <c r="S48" s="20">
        <v>20601242657</v>
      </c>
      <c r="T48" s="20" t="s">
        <v>33</v>
      </c>
      <c r="U48" s="20" t="s">
        <v>123</v>
      </c>
      <c r="V48" s="20" t="s">
        <v>147</v>
      </c>
      <c r="W48" s="20" t="s">
        <v>31</v>
      </c>
      <c r="X48" s="26" t="s">
        <v>447</v>
      </c>
      <c r="Y48" s="26" t="s">
        <v>31</v>
      </c>
      <c r="Z48" s="26" t="s">
        <v>31</v>
      </c>
      <c r="AA48" s="26" t="s">
        <v>31</v>
      </c>
      <c r="AB48" s="26">
        <v>26</v>
      </c>
      <c r="AC48" s="27" t="s">
        <v>36</v>
      </c>
      <c r="AD48" s="27" t="s">
        <v>34</v>
      </c>
      <c r="AE48" s="27"/>
      <c r="AF48" s="27"/>
      <c r="AG48" s="27"/>
      <c r="AH48" s="27"/>
      <c r="AI48" s="27"/>
      <c r="AJ48" s="27"/>
      <c r="AK48" s="27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</row>
    <row r="49" spans="1:706" s="28" customFormat="1" hidden="1" x14ac:dyDescent="0.25">
      <c r="A49" s="20">
        <v>79</v>
      </c>
      <c r="B49" s="20" t="s">
        <v>27</v>
      </c>
      <c r="C49" s="20" t="s">
        <v>512</v>
      </c>
      <c r="D49" s="20" t="s">
        <v>464</v>
      </c>
      <c r="E49" s="20"/>
      <c r="F49" s="20" t="s">
        <v>28</v>
      </c>
      <c r="G49" s="34">
        <v>76757806</v>
      </c>
      <c r="H49" s="35" t="s">
        <v>451</v>
      </c>
      <c r="I49" s="36" t="s">
        <v>454</v>
      </c>
      <c r="J49" s="36" t="s">
        <v>456</v>
      </c>
      <c r="K49" s="37" t="s">
        <v>463</v>
      </c>
      <c r="L49" s="20" t="s">
        <v>29</v>
      </c>
      <c r="M49" s="38">
        <v>35915</v>
      </c>
      <c r="N49" s="20">
        <v>976420575</v>
      </c>
      <c r="O49" s="24" t="s">
        <v>232</v>
      </c>
      <c r="P49" s="20" t="s">
        <v>30</v>
      </c>
      <c r="Q49" s="20" t="s">
        <v>27</v>
      </c>
      <c r="R49" s="31" t="s">
        <v>32</v>
      </c>
      <c r="S49" s="20">
        <v>20601242657</v>
      </c>
      <c r="T49" s="20" t="s">
        <v>33</v>
      </c>
      <c r="U49" s="20" t="s">
        <v>123</v>
      </c>
      <c r="V49" s="20" t="s">
        <v>147</v>
      </c>
      <c r="W49" s="36" t="s">
        <v>34</v>
      </c>
      <c r="X49" s="26" t="s">
        <v>461</v>
      </c>
      <c r="Y49" s="39" t="s">
        <v>34</v>
      </c>
      <c r="Z49" s="39" t="s">
        <v>34</v>
      </c>
      <c r="AA49" s="39" t="s">
        <v>45</v>
      </c>
      <c r="AB49" s="26">
        <v>24</v>
      </c>
      <c r="AC49" s="27" t="s">
        <v>36</v>
      </c>
      <c r="AD49" s="27" t="s">
        <v>34</v>
      </c>
      <c r="AE49" s="27"/>
      <c r="AF49" s="27"/>
      <c r="AG49" s="27"/>
      <c r="AH49" s="27"/>
      <c r="AI49" s="27"/>
      <c r="AJ49" s="27"/>
      <c r="AK49" s="27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</row>
    <row r="50" spans="1:706" s="28" customFormat="1" hidden="1" x14ac:dyDescent="0.25">
      <c r="A50" s="20">
        <v>84</v>
      </c>
      <c r="B50" s="20" t="s">
        <v>27</v>
      </c>
      <c r="C50" s="20" t="s">
        <v>512</v>
      </c>
      <c r="D50" s="20" t="s">
        <v>290</v>
      </c>
      <c r="E50" s="20"/>
      <c r="F50" s="20" t="s">
        <v>28</v>
      </c>
      <c r="G50" s="20">
        <v>80439671</v>
      </c>
      <c r="H50" s="20" t="s">
        <v>492</v>
      </c>
      <c r="I50" s="20" t="s">
        <v>493</v>
      </c>
      <c r="J50" s="20" t="s">
        <v>494</v>
      </c>
      <c r="K50" s="22" t="s">
        <v>495</v>
      </c>
      <c r="L50" s="20" t="s">
        <v>29</v>
      </c>
      <c r="M50" s="21">
        <v>28661</v>
      </c>
      <c r="N50" s="20"/>
      <c r="O50" s="24" t="s">
        <v>232</v>
      </c>
      <c r="P50" s="20" t="s">
        <v>30</v>
      </c>
      <c r="Q50" s="20" t="s">
        <v>27</v>
      </c>
      <c r="R50" s="31" t="s">
        <v>32</v>
      </c>
      <c r="S50" s="20">
        <v>20601242657</v>
      </c>
      <c r="T50" s="20" t="s">
        <v>33</v>
      </c>
      <c r="U50" s="20" t="s">
        <v>123</v>
      </c>
      <c r="V50" s="20" t="s">
        <v>147</v>
      </c>
      <c r="W50" s="20" t="s">
        <v>31</v>
      </c>
      <c r="X50" s="26" t="s">
        <v>496</v>
      </c>
      <c r="Y50" s="26" t="s">
        <v>31</v>
      </c>
      <c r="Z50" s="26" t="s">
        <v>31</v>
      </c>
      <c r="AA50" s="26" t="s">
        <v>31</v>
      </c>
      <c r="AB50" s="26">
        <v>44</v>
      </c>
      <c r="AC50" s="27" t="s">
        <v>111</v>
      </c>
      <c r="AD50" s="27" t="s">
        <v>27</v>
      </c>
      <c r="AE50" s="27"/>
      <c r="AF50" s="45">
        <v>44567</v>
      </c>
      <c r="AG50" s="45"/>
      <c r="AH50" s="45"/>
      <c r="AI50" s="45"/>
      <c r="AJ50" s="45"/>
      <c r="AK50" s="26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</row>
    <row r="51" spans="1:706" s="28" customFormat="1" hidden="1" x14ac:dyDescent="0.25">
      <c r="A51" s="20">
        <v>16</v>
      </c>
      <c r="B51" s="20" t="s">
        <v>27</v>
      </c>
      <c r="C51" s="20" t="s">
        <v>512</v>
      </c>
      <c r="D51" s="20" t="s">
        <v>172</v>
      </c>
      <c r="E51" s="20"/>
      <c r="F51" s="20" t="s">
        <v>28</v>
      </c>
      <c r="G51" s="20">
        <v>80610247</v>
      </c>
      <c r="H51" s="20" t="s">
        <v>81</v>
      </c>
      <c r="I51" s="20" t="s">
        <v>82</v>
      </c>
      <c r="J51" s="20" t="s">
        <v>83</v>
      </c>
      <c r="K51" s="22" t="str">
        <f t="shared" ref="K51" si="1">CONCATENATE(H51," ",I51," ",J51)</f>
        <v>MESTANZA CALDERON CARMELO</v>
      </c>
      <c r="L51" s="20" t="s">
        <v>29</v>
      </c>
      <c r="M51" s="21">
        <v>29050</v>
      </c>
      <c r="N51" s="20">
        <v>950819893</v>
      </c>
      <c r="O51" s="24" t="s">
        <v>232</v>
      </c>
      <c r="P51" s="20" t="s">
        <v>30</v>
      </c>
      <c r="Q51" s="20" t="s">
        <v>27</v>
      </c>
      <c r="R51" s="25" t="s">
        <v>32</v>
      </c>
      <c r="S51" s="20">
        <v>20601242657</v>
      </c>
      <c r="T51" s="20" t="s">
        <v>33</v>
      </c>
      <c r="U51" s="20" t="s">
        <v>123</v>
      </c>
      <c r="V51" s="20" t="s">
        <v>109</v>
      </c>
      <c r="W51" s="20" t="s">
        <v>31</v>
      </c>
      <c r="X51" s="26" t="s">
        <v>487</v>
      </c>
      <c r="Y51" s="26" t="s">
        <v>31</v>
      </c>
      <c r="Z51" s="26" t="s">
        <v>31</v>
      </c>
      <c r="AA51" s="26" t="s">
        <v>31</v>
      </c>
      <c r="AB51" s="26">
        <v>42</v>
      </c>
      <c r="AC51" s="27" t="s">
        <v>111</v>
      </c>
      <c r="AD51" s="27" t="s">
        <v>27</v>
      </c>
      <c r="AE51" s="27"/>
      <c r="AF51" s="45">
        <v>44280</v>
      </c>
      <c r="AG51" s="45"/>
      <c r="AH51" s="45"/>
      <c r="AI51" s="45"/>
      <c r="AJ51" s="45">
        <v>44543</v>
      </c>
      <c r="AK51" s="45" t="s">
        <v>481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</row>
    <row r="52" spans="1:706" s="28" customFormat="1" hidden="1" x14ac:dyDescent="0.25">
      <c r="A52" s="20">
        <v>59</v>
      </c>
      <c r="B52" s="20" t="s">
        <v>27</v>
      </c>
      <c r="C52" s="20" t="s">
        <v>512</v>
      </c>
      <c r="D52" s="20" t="s">
        <v>381</v>
      </c>
      <c r="E52" s="20"/>
      <c r="F52" s="20" t="s">
        <v>28</v>
      </c>
      <c r="G52" s="20">
        <v>70845004</v>
      </c>
      <c r="H52" s="20" t="s">
        <v>310</v>
      </c>
      <c r="I52" s="20" t="s">
        <v>395</v>
      </c>
      <c r="J52" s="20" t="s">
        <v>311</v>
      </c>
      <c r="K52" s="22" t="s">
        <v>312</v>
      </c>
      <c r="L52" s="20" t="s">
        <v>29</v>
      </c>
      <c r="M52" s="21">
        <v>36326</v>
      </c>
      <c r="N52" s="20">
        <v>912855776</v>
      </c>
      <c r="O52" s="24" t="s">
        <v>232</v>
      </c>
      <c r="P52" s="20" t="s">
        <v>30</v>
      </c>
      <c r="Q52" s="20" t="s">
        <v>27</v>
      </c>
      <c r="R52" s="31" t="s">
        <v>32</v>
      </c>
      <c r="S52" s="20">
        <v>20601242657</v>
      </c>
      <c r="T52" s="20" t="s">
        <v>33</v>
      </c>
      <c r="U52" s="20" t="s">
        <v>123</v>
      </c>
      <c r="V52" s="20" t="s">
        <v>147</v>
      </c>
      <c r="W52" s="20" t="s">
        <v>45</v>
      </c>
      <c r="X52" s="26" t="s">
        <v>313</v>
      </c>
      <c r="Y52" s="26" t="s">
        <v>202</v>
      </c>
      <c r="Z52" s="26" t="s">
        <v>203</v>
      </c>
      <c r="AA52" s="26" t="s">
        <v>45</v>
      </c>
      <c r="AB52" s="26">
        <v>22</v>
      </c>
      <c r="AC52" s="27" t="s">
        <v>34</v>
      </c>
      <c r="AD52" s="27" t="s">
        <v>27</v>
      </c>
      <c r="AE52" s="27"/>
      <c r="AF52" s="45">
        <v>44392</v>
      </c>
      <c r="AG52" s="45"/>
      <c r="AH52" s="45"/>
      <c r="AI52" s="45"/>
      <c r="AJ52" s="45">
        <v>44526</v>
      </c>
      <c r="AK52" s="45" t="s">
        <v>481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</row>
    <row r="53" spans="1:706" s="28" customFormat="1" hidden="1" x14ac:dyDescent="0.25">
      <c r="A53" s="20">
        <v>83</v>
      </c>
      <c r="B53" s="20" t="s">
        <v>27</v>
      </c>
      <c r="C53" s="20" t="s">
        <v>512</v>
      </c>
      <c r="D53" s="20" t="s">
        <v>490</v>
      </c>
      <c r="E53" s="20"/>
      <c r="F53" s="20" t="s">
        <v>28</v>
      </c>
      <c r="G53" s="20">
        <v>75005062</v>
      </c>
      <c r="H53" s="20" t="s">
        <v>93</v>
      </c>
      <c r="I53" s="20" t="s">
        <v>94</v>
      </c>
      <c r="J53" s="20" t="s">
        <v>486</v>
      </c>
      <c r="K53" s="37" t="s">
        <v>484</v>
      </c>
      <c r="L53" s="20" t="s">
        <v>29</v>
      </c>
      <c r="M53" s="38">
        <v>35431</v>
      </c>
      <c r="N53" s="20"/>
      <c r="O53" s="24" t="s">
        <v>232</v>
      </c>
      <c r="P53" s="20" t="s">
        <v>30</v>
      </c>
      <c r="Q53" s="20" t="s">
        <v>27</v>
      </c>
      <c r="R53" s="31" t="s">
        <v>32</v>
      </c>
      <c r="S53" s="20">
        <v>20601242657</v>
      </c>
      <c r="T53" s="20" t="s">
        <v>33</v>
      </c>
      <c r="U53" s="20" t="s">
        <v>123</v>
      </c>
      <c r="V53" s="20" t="s">
        <v>147</v>
      </c>
      <c r="W53" s="20" t="s">
        <v>31</v>
      </c>
      <c r="X53" s="26" t="s">
        <v>487</v>
      </c>
      <c r="Y53" s="26" t="s">
        <v>31</v>
      </c>
      <c r="Z53" s="26" t="s">
        <v>31</v>
      </c>
      <c r="AA53" s="26" t="s">
        <v>31</v>
      </c>
      <c r="AB53" s="26">
        <v>23</v>
      </c>
      <c r="AC53" s="27" t="s">
        <v>111</v>
      </c>
      <c r="AD53" s="27" t="s">
        <v>27</v>
      </c>
      <c r="AE53" s="27"/>
      <c r="AF53" s="45">
        <v>44568</v>
      </c>
      <c r="AG53" s="45"/>
      <c r="AH53" s="45"/>
      <c r="AI53" s="45"/>
      <c r="AJ53" s="27"/>
      <c r="AK53" s="27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</row>
    <row r="54" spans="1:706" s="28" customFormat="1" ht="15.75" hidden="1" customHeight="1" x14ac:dyDescent="0.25">
      <c r="A54" s="20">
        <v>80</v>
      </c>
      <c r="B54" s="20" t="s">
        <v>27</v>
      </c>
      <c r="C54" s="20" t="s">
        <v>512</v>
      </c>
      <c r="D54" s="20" t="s">
        <v>488</v>
      </c>
      <c r="E54" s="20"/>
      <c r="F54" s="20" t="s">
        <v>28</v>
      </c>
      <c r="G54" s="34">
        <v>70203539</v>
      </c>
      <c r="H54" s="36" t="s">
        <v>466</v>
      </c>
      <c r="I54" s="36" t="s">
        <v>467</v>
      </c>
      <c r="J54" s="36" t="s">
        <v>468</v>
      </c>
      <c r="K54" s="37" t="s">
        <v>479</v>
      </c>
      <c r="L54" s="20" t="s">
        <v>29</v>
      </c>
      <c r="M54" s="38">
        <v>35083</v>
      </c>
      <c r="N54" s="20">
        <v>948736734</v>
      </c>
      <c r="O54" s="24" t="s">
        <v>232</v>
      </c>
      <c r="P54" s="20" t="s">
        <v>30</v>
      </c>
      <c r="Q54" s="20" t="s">
        <v>27</v>
      </c>
      <c r="R54" s="31" t="s">
        <v>32</v>
      </c>
      <c r="S54" s="20">
        <v>20601242657</v>
      </c>
      <c r="T54" s="20" t="s">
        <v>33</v>
      </c>
      <c r="U54" s="20" t="s">
        <v>123</v>
      </c>
      <c r="V54" s="20" t="s">
        <v>147</v>
      </c>
      <c r="W54" s="20" t="s">
        <v>31</v>
      </c>
      <c r="X54" s="26" t="s">
        <v>469</v>
      </c>
      <c r="Y54" s="39" t="s">
        <v>31</v>
      </c>
      <c r="Z54" s="39" t="s">
        <v>31</v>
      </c>
      <c r="AA54" s="39" t="s">
        <v>31</v>
      </c>
      <c r="AB54" s="26">
        <v>25</v>
      </c>
      <c r="AC54" s="27" t="s">
        <v>111</v>
      </c>
      <c r="AD54" s="27" t="s">
        <v>27</v>
      </c>
      <c r="AE54" s="27"/>
      <c r="AF54" s="45">
        <v>44559</v>
      </c>
      <c r="AG54" s="45"/>
      <c r="AH54" s="45"/>
      <c r="AI54" s="45"/>
      <c r="AJ54" s="27"/>
      <c r="AK54" s="27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</row>
    <row r="55" spans="1:706" s="28" customFormat="1" hidden="1" x14ac:dyDescent="0.25">
      <c r="A55" s="20">
        <v>81</v>
      </c>
      <c r="B55" s="20" t="s">
        <v>27</v>
      </c>
      <c r="C55" s="20" t="s">
        <v>512</v>
      </c>
      <c r="D55" s="20" t="s">
        <v>489</v>
      </c>
      <c r="E55" s="20"/>
      <c r="F55" s="20" t="s">
        <v>28</v>
      </c>
      <c r="G55" s="34">
        <v>75745787</v>
      </c>
      <c r="H55" s="36" t="s">
        <v>470</v>
      </c>
      <c r="I55" s="36" t="s">
        <v>471</v>
      </c>
      <c r="J55" s="36" t="s">
        <v>472</v>
      </c>
      <c r="K55" s="37" t="s">
        <v>473</v>
      </c>
      <c r="L55" s="20" t="s">
        <v>29</v>
      </c>
      <c r="M55" s="38">
        <v>35565</v>
      </c>
      <c r="N55" s="20">
        <v>995748392</v>
      </c>
      <c r="O55" s="24" t="s">
        <v>232</v>
      </c>
      <c r="P55" s="20" t="s">
        <v>30</v>
      </c>
      <c r="Q55" s="20" t="s">
        <v>27</v>
      </c>
      <c r="R55" s="31" t="s">
        <v>32</v>
      </c>
      <c r="S55" s="20">
        <v>20601242657</v>
      </c>
      <c r="T55" s="20" t="s">
        <v>33</v>
      </c>
      <c r="U55" s="20" t="s">
        <v>123</v>
      </c>
      <c r="V55" s="20" t="s">
        <v>352</v>
      </c>
      <c r="W55" s="20" t="s">
        <v>31</v>
      </c>
      <c r="X55" s="26" t="s">
        <v>474</v>
      </c>
      <c r="Y55" s="39" t="s">
        <v>31</v>
      </c>
      <c r="Z55" s="39" t="s">
        <v>31</v>
      </c>
      <c r="AA55" s="39" t="s">
        <v>31</v>
      </c>
      <c r="AB55" s="26">
        <v>24</v>
      </c>
      <c r="AC55" s="27" t="s">
        <v>111</v>
      </c>
      <c r="AD55" s="27" t="s">
        <v>27</v>
      </c>
      <c r="AE55" s="27"/>
      <c r="AF55" s="45">
        <v>44559</v>
      </c>
      <c r="AG55" s="45"/>
      <c r="AH55" s="45"/>
      <c r="AI55" s="45"/>
      <c r="AJ55" s="27"/>
      <c r="AK55" s="27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</row>
    <row r="56" spans="1:706" s="28" customFormat="1" hidden="1" x14ac:dyDescent="0.25">
      <c r="A56" s="20">
        <v>78</v>
      </c>
      <c r="B56" s="20" t="s">
        <v>27</v>
      </c>
      <c r="C56" s="20" t="s">
        <v>512</v>
      </c>
      <c r="D56" s="20" t="s">
        <v>290</v>
      </c>
      <c r="E56" s="20"/>
      <c r="F56" s="20" t="s">
        <v>28</v>
      </c>
      <c r="G56" s="34">
        <v>46867179</v>
      </c>
      <c r="H56" s="36" t="s">
        <v>450</v>
      </c>
      <c r="I56" s="36" t="s">
        <v>453</v>
      </c>
      <c r="J56" s="36" t="s">
        <v>455</v>
      </c>
      <c r="K56" s="37" t="s">
        <v>457</v>
      </c>
      <c r="L56" s="20" t="s">
        <v>29</v>
      </c>
      <c r="M56" s="38">
        <v>33681</v>
      </c>
      <c r="N56" s="20">
        <v>929736472</v>
      </c>
      <c r="O56" s="24" t="s">
        <v>232</v>
      </c>
      <c r="P56" s="20" t="s">
        <v>30</v>
      </c>
      <c r="Q56" s="20" t="s">
        <v>27</v>
      </c>
      <c r="R56" s="31" t="s">
        <v>32</v>
      </c>
      <c r="S56" s="20">
        <v>20601242657</v>
      </c>
      <c r="T56" s="20" t="s">
        <v>33</v>
      </c>
      <c r="U56" s="20" t="s">
        <v>123</v>
      </c>
      <c r="V56" s="20" t="s">
        <v>147</v>
      </c>
      <c r="W56" s="36" t="s">
        <v>458</v>
      </c>
      <c r="X56" s="26" t="s">
        <v>462</v>
      </c>
      <c r="Y56" s="39" t="s">
        <v>458</v>
      </c>
      <c r="Z56" s="39" t="s">
        <v>458</v>
      </c>
      <c r="AA56" s="39" t="s">
        <v>45</v>
      </c>
      <c r="AB56" s="26">
        <v>29</v>
      </c>
      <c r="AC56" s="27" t="s">
        <v>34</v>
      </c>
      <c r="AD56" s="27" t="s">
        <v>27</v>
      </c>
      <c r="AE56" s="27"/>
      <c r="AF56" s="45">
        <v>44545</v>
      </c>
      <c r="AG56" s="45"/>
      <c r="AH56" s="45"/>
      <c r="AI56" s="45"/>
      <c r="AJ56" s="45">
        <v>44615</v>
      </c>
      <c r="AK56" s="27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</row>
    <row r="57" spans="1:706" s="1" customFormat="1" hidden="1" x14ac:dyDescent="0.25">
      <c r="A57" s="20">
        <v>67</v>
      </c>
      <c r="B57" s="20" t="s">
        <v>27</v>
      </c>
      <c r="C57" s="20" t="s">
        <v>512</v>
      </c>
      <c r="D57" s="20" t="s">
        <v>412</v>
      </c>
      <c r="E57" s="20"/>
      <c r="F57" s="20" t="s">
        <v>28</v>
      </c>
      <c r="G57" s="20">
        <v>71808179</v>
      </c>
      <c r="H57" s="20" t="s">
        <v>205</v>
      </c>
      <c r="I57" s="20" t="s">
        <v>400</v>
      </c>
      <c r="J57" s="20" t="s">
        <v>401</v>
      </c>
      <c r="K57" s="22" t="s">
        <v>402</v>
      </c>
      <c r="L57" s="20" t="s">
        <v>29</v>
      </c>
      <c r="M57" s="21">
        <v>36985</v>
      </c>
      <c r="N57" s="20">
        <v>933097235</v>
      </c>
      <c r="O57" s="24" t="s">
        <v>232</v>
      </c>
      <c r="P57" s="20" t="s">
        <v>30</v>
      </c>
      <c r="Q57" s="20" t="s">
        <v>27</v>
      </c>
      <c r="R57" s="31" t="s">
        <v>32</v>
      </c>
      <c r="S57" s="20">
        <v>20601242657</v>
      </c>
      <c r="T57" s="20" t="s">
        <v>33</v>
      </c>
      <c r="U57" s="20" t="s">
        <v>123</v>
      </c>
      <c r="V57" s="20" t="s">
        <v>147</v>
      </c>
      <c r="W57" s="20" t="s">
        <v>31</v>
      </c>
      <c r="X57" s="26" t="s">
        <v>408</v>
      </c>
      <c r="Y57" s="26" t="s">
        <v>31</v>
      </c>
      <c r="Z57" s="26" t="s">
        <v>31</v>
      </c>
      <c r="AA57" s="26" t="s">
        <v>31</v>
      </c>
      <c r="AB57" s="26">
        <v>20</v>
      </c>
      <c r="AC57" s="27" t="s">
        <v>111</v>
      </c>
      <c r="AD57" s="27" t="s">
        <v>27</v>
      </c>
      <c r="AE57" s="27"/>
      <c r="AF57" s="45">
        <v>44433</v>
      </c>
      <c r="AG57" s="45"/>
      <c r="AH57" s="45"/>
      <c r="AI57" s="45"/>
      <c r="AJ57" s="45">
        <v>44498</v>
      </c>
      <c r="AK57" s="27"/>
    </row>
    <row r="58" spans="1:706" s="1" customFormat="1" hidden="1" x14ac:dyDescent="0.25">
      <c r="A58" s="20">
        <v>75</v>
      </c>
      <c r="B58" s="20" t="s">
        <v>27</v>
      </c>
      <c r="C58" s="20" t="s">
        <v>512</v>
      </c>
      <c r="D58" s="20" t="s">
        <v>443</v>
      </c>
      <c r="E58" s="20"/>
      <c r="F58" s="20" t="s">
        <v>28</v>
      </c>
      <c r="G58" s="20">
        <v>76844048</v>
      </c>
      <c r="H58" s="20" t="s">
        <v>205</v>
      </c>
      <c r="I58" s="20" t="s">
        <v>439</v>
      </c>
      <c r="J58" s="20" t="s">
        <v>440</v>
      </c>
      <c r="K58" s="22" t="s">
        <v>441</v>
      </c>
      <c r="L58" s="20" t="s">
        <v>29</v>
      </c>
      <c r="M58" s="21">
        <v>36967</v>
      </c>
      <c r="N58" s="20">
        <v>931788284</v>
      </c>
      <c r="O58" s="24" t="s">
        <v>232</v>
      </c>
      <c r="P58" s="20" t="s">
        <v>30</v>
      </c>
      <c r="Q58" s="20" t="s">
        <v>27</v>
      </c>
      <c r="R58" s="31" t="s">
        <v>32</v>
      </c>
      <c r="S58" s="20">
        <v>20601242657</v>
      </c>
      <c r="T58" s="20" t="s">
        <v>33</v>
      </c>
      <c r="U58" s="20" t="s">
        <v>123</v>
      </c>
      <c r="V58" s="20" t="s">
        <v>147</v>
      </c>
      <c r="W58" s="20" t="s">
        <v>31</v>
      </c>
      <c r="X58" s="26" t="s">
        <v>442</v>
      </c>
      <c r="Y58" s="26" t="s">
        <v>31</v>
      </c>
      <c r="Z58" s="26" t="s">
        <v>31</v>
      </c>
      <c r="AA58" s="26" t="s">
        <v>31</v>
      </c>
      <c r="AB58" s="26">
        <v>20</v>
      </c>
      <c r="AC58" s="27" t="s">
        <v>111</v>
      </c>
      <c r="AD58" s="27" t="s">
        <v>27</v>
      </c>
      <c r="AE58" s="27"/>
      <c r="AF58" s="45">
        <v>44489</v>
      </c>
      <c r="AG58" s="45"/>
      <c r="AH58" s="45"/>
      <c r="AI58" s="45"/>
      <c r="AJ58" s="45">
        <v>44622</v>
      </c>
      <c r="AK58" s="27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</row>
    <row r="59" spans="1:706" s="28" customFormat="1" hidden="1" x14ac:dyDescent="0.25">
      <c r="A59" s="20">
        <v>57</v>
      </c>
      <c r="B59" s="20" t="s">
        <v>27</v>
      </c>
      <c r="C59" s="20" t="s">
        <v>512</v>
      </c>
      <c r="D59" s="20" t="s">
        <v>361</v>
      </c>
      <c r="E59" s="20"/>
      <c r="F59" s="20" t="s">
        <v>28</v>
      </c>
      <c r="G59" s="20">
        <v>47961309</v>
      </c>
      <c r="H59" s="20" t="s">
        <v>295</v>
      </c>
      <c r="I59" s="20" t="s">
        <v>296</v>
      </c>
      <c r="J59" s="20" t="s">
        <v>297</v>
      </c>
      <c r="K59" s="22" t="s">
        <v>298</v>
      </c>
      <c r="L59" s="20" t="s">
        <v>29</v>
      </c>
      <c r="M59" s="23" t="s">
        <v>303</v>
      </c>
      <c r="N59" s="20">
        <v>928004055</v>
      </c>
      <c r="O59" s="24" t="s">
        <v>232</v>
      </c>
      <c r="P59" s="20" t="s">
        <v>30</v>
      </c>
      <c r="Q59" s="20" t="s">
        <v>27</v>
      </c>
      <c r="R59" s="31" t="s">
        <v>32</v>
      </c>
      <c r="S59" s="20">
        <v>20601242657</v>
      </c>
      <c r="T59" s="20" t="s">
        <v>33</v>
      </c>
      <c r="U59" s="20" t="s">
        <v>123</v>
      </c>
      <c r="V59" s="20" t="s">
        <v>147</v>
      </c>
      <c r="W59" s="20" t="s">
        <v>31</v>
      </c>
      <c r="X59" s="26" t="s">
        <v>299</v>
      </c>
      <c r="Y59" s="26" t="s">
        <v>300</v>
      </c>
      <c r="Z59" s="26" t="s">
        <v>301</v>
      </c>
      <c r="AA59" s="26" t="s">
        <v>31</v>
      </c>
      <c r="AB59" s="26">
        <v>28</v>
      </c>
      <c r="AC59" s="27" t="s">
        <v>111</v>
      </c>
      <c r="AD59" s="27" t="s">
        <v>27</v>
      </c>
      <c r="AE59" s="27"/>
      <c r="AF59" s="45">
        <v>44385</v>
      </c>
      <c r="AG59" s="45"/>
      <c r="AH59" s="45"/>
      <c r="AI59" s="45"/>
      <c r="AJ59" s="45">
        <v>44648</v>
      </c>
      <c r="AK59" s="27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</row>
    <row r="60" spans="1:706" s="41" customFormat="1" hidden="1" x14ac:dyDescent="0.25">
      <c r="A60" s="20">
        <v>85</v>
      </c>
      <c r="B60" s="20" t="s">
        <v>27</v>
      </c>
      <c r="C60" s="20" t="s">
        <v>512</v>
      </c>
      <c r="D60" s="20" t="s">
        <v>518</v>
      </c>
      <c r="E60" s="20"/>
      <c r="F60" s="20" t="s">
        <v>28</v>
      </c>
      <c r="G60" s="20">
        <v>76621704</v>
      </c>
      <c r="H60" s="20" t="s">
        <v>501</v>
      </c>
      <c r="I60" s="20" t="s">
        <v>502</v>
      </c>
      <c r="J60" s="20" t="s">
        <v>526</v>
      </c>
      <c r="K60" s="22" t="s">
        <v>527</v>
      </c>
      <c r="L60" s="20" t="s">
        <v>29</v>
      </c>
      <c r="M60" s="21">
        <v>36238</v>
      </c>
      <c r="N60" s="20">
        <v>958101707</v>
      </c>
      <c r="O60" s="24" t="s">
        <v>232</v>
      </c>
      <c r="P60" s="20" t="s">
        <v>30</v>
      </c>
      <c r="Q60" s="20" t="s">
        <v>27</v>
      </c>
      <c r="R60" s="31" t="s">
        <v>32</v>
      </c>
      <c r="S60" s="20">
        <v>20601242657</v>
      </c>
      <c r="T60" s="20" t="s">
        <v>33</v>
      </c>
      <c r="U60" s="20" t="s">
        <v>123</v>
      </c>
      <c r="V60" s="20" t="s">
        <v>147</v>
      </c>
      <c r="W60" s="20" t="s">
        <v>45</v>
      </c>
      <c r="X60" s="26" t="s">
        <v>503</v>
      </c>
      <c r="Y60" s="26" t="s">
        <v>202</v>
      </c>
      <c r="Z60" s="26" t="s">
        <v>203</v>
      </c>
      <c r="AA60" s="26" t="s">
        <v>45</v>
      </c>
      <c r="AB60" s="26">
        <v>23</v>
      </c>
      <c r="AC60" s="27" t="s">
        <v>34</v>
      </c>
      <c r="AD60" s="27" t="s">
        <v>27</v>
      </c>
      <c r="AE60" s="27"/>
      <c r="AF60" s="45">
        <v>44580</v>
      </c>
      <c r="AG60" s="45"/>
      <c r="AH60" s="45"/>
      <c r="AI60" s="45"/>
      <c r="AJ60" s="45">
        <v>44671</v>
      </c>
      <c r="AK60" s="27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</row>
    <row r="61" spans="1:706" s="41" customFormat="1" hidden="1" x14ac:dyDescent="0.25">
      <c r="A61" s="20">
        <v>90</v>
      </c>
      <c r="B61" s="20" t="s">
        <v>27</v>
      </c>
      <c r="C61" s="20" t="s">
        <v>512</v>
      </c>
      <c r="D61" s="20" t="s">
        <v>542</v>
      </c>
      <c r="E61" s="20"/>
      <c r="F61" s="20" t="s">
        <v>28</v>
      </c>
      <c r="G61" s="20">
        <v>71882744</v>
      </c>
      <c r="H61" s="20" t="s">
        <v>529</v>
      </c>
      <c r="I61" s="20" t="s">
        <v>183</v>
      </c>
      <c r="J61" s="20" t="s">
        <v>97</v>
      </c>
      <c r="K61" s="22" t="s">
        <v>530</v>
      </c>
      <c r="L61" s="20" t="s">
        <v>29</v>
      </c>
      <c r="M61" s="21">
        <v>35841</v>
      </c>
      <c r="N61" s="20">
        <v>931660130</v>
      </c>
      <c r="O61" s="24" t="s">
        <v>232</v>
      </c>
      <c r="P61" s="20" t="s">
        <v>30</v>
      </c>
      <c r="Q61" s="20" t="s">
        <v>27</v>
      </c>
      <c r="R61" s="31" t="s">
        <v>32</v>
      </c>
      <c r="S61" s="20">
        <v>20601242657</v>
      </c>
      <c r="T61" s="20" t="s">
        <v>33</v>
      </c>
      <c r="U61" s="20" t="s">
        <v>123</v>
      </c>
      <c r="V61" s="20" t="s">
        <v>147</v>
      </c>
      <c r="W61" s="20" t="s">
        <v>31</v>
      </c>
      <c r="X61" s="26" t="s">
        <v>531</v>
      </c>
      <c r="Y61" s="20" t="s">
        <v>31</v>
      </c>
      <c r="Z61" s="20" t="s">
        <v>31</v>
      </c>
      <c r="AA61" s="20" t="s">
        <v>31</v>
      </c>
      <c r="AB61" s="26">
        <v>24</v>
      </c>
      <c r="AC61" s="27" t="s">
        <v>111</v>
      </c>
      <c r="AD61" s="27" t="s">
        <v>27</v>
      </c>
      <c r="AE61" s="27"/>
      <c r="AF61" s="45">
        <v>44650</v>
      </c>
      <c r="AG61" s="45"/>
      <c r="AH61" s="45"/>
      <c r="AI61" s="45"/>
      <c r="AJ61" s="45">
        <v>44691</v>
      </c>
      <c r="AK61" s="27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</row>
    <row r="62" spans="1:706" s="41" customFormat="1" hidden="1" x14ac:dyDescent="0.25">
      <c r="A62" s="20">
        <v>89</v>
      </c>
      <c r="B62" s="20" t="s">
        <v>27</v>
      </c>
      <c r="C62" s="20" t="s">
        <v>512</v>
      </c>
      <c r="D62" s="20" t="s">
        <v>536</v>
      </c>
      <c r="E62" s="20"/>
      <c r="F62" s="20" t="s">
        <v>28</v>
      </c>
      <c r="G62" s="20">
        <v>72426561</v>
      </c>
      <c r="H62" s="20" t="s">
        <v>107</v>
      </c>
      <c r="I62" s="20" t="s">
        <v>55</v>
      </c>
      <c r="J62" s="20" t="s">
        <v>115</v>
      </c>
      <c r="K62" s="22" t="s">
        <v>524</v>
      </c>
      <c r="L62" s="20" t="s">
        <v>29</v>
      </c>
      <c r="M62" s="21">
        <v>36144</v>
      </c>
      <c r="N62" s="20">
        <v>915354940</v>
      </c>
      <c r="O62" s="24" t="s">
        <v>232</v>
      </c>
      <c r="P62" s="20" t="s">
        <v>30</v>
      </c>
      <c r="Q62" s="20" t="s">
        <v>27</v>
      </c>
      <c r="R62" s="31" t="s">
        <v>32</v>
      </c>
      <c r="S62" s="20">
        <v>20601242657</v>
      </c>
      <c r="T62" s="20" t="s">
        <v>33</v>
      </c>
      <c r="U62" s="20" t="s">
        <v>123</v>
      </c>
      <c r="V62" s="20" t="s">
        <v>147</v>
      </c>
      <c r="W62" s="20" t="s">
        <v>31</v>
      </c>
      <c r="X62" s="26" t="s">
        <v>525</v>
      </c>
      <c r="Y62" s="26" t="s">
        <v>31</v>
      </c>
      <c r="Z62" s="26" t="s">
        <v>31</v>
      </c>
      <c r="AA62" s="26" t="s">
        <v>31</v>
      </c>
      <c r="AB62" s="26">
        <v>24</v>
      </c>
      <c r="AC62" s="27" t="s">
        <v>111</v>
      </c>
      <c r="AD62" s="27" t="s">
        <v>27</v>
      </c>
      <c r="AE62" s="27"/>
      <c r="AF62" s="45">
        <v>44635</v>
      </c>
      <c r="AG62" s="45"/>
      <c r="AH62" s="45"/>
      <c r="AI62" s="45"/>
      <c r="AJ62" s="45">
        <v>44733</v>
      </c>
      <c r="AK62" s="27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</row>
    <row r="63" spans="1:706" s="1" customFormat="1" hidden="1" x14ac:dyDescent="0.25">
      <c r="A63" s="20">
        <v>8</v>
      </c>
      <c r="B63" s="20" t="s">
        <v>27</v>
      </c>
      <c r="C63" s="20" t="s">
        <v>512</v>
      </c>
      <c r="D63" s="20" t="s">
        <v>166</v>
      </c>
      <c r="E63" s="20"/>
      <c r="F63" s="20" t="s">
        <v>28</v>
      </c>
      <c r="G63" s="20">
        <v>76910377</v>
      </c>
      <c r="H63" s="20" t="s">
        <v>66</v>
      </c>
      <c r="I63" s="20" t="s">
        <v>98</v>
      </c>
      <c r="J63" s="20" t="s">
        <v>137</v>
      </c>
      <c r="K63" s="22" t="str">
        <f t="shared" ref="K63:K64" si="2">CONCATENATE(H63," ",I63," ",J63)</f>
        <v>REYES TANTA JOEL BRAYAN</v>
      </c>
      <c r="L63" s="20" t="s">
        <v>29</v>
      </c>
      <c r="M63" s="21">
        <v>36396</v>
      </c>
      <c r="N63" s="20">
        <v>929001574</v>
      </c>
      <c r="O63" s="24" t="s">
        <v>232</v>
      </c>
      <c r="P63" s="20" t="s">
        <v>30</v>
      </c>
      <c r="Q63" s="20" t="s">
        <v>27</v>
      </c>
      <c r="R63" s="25" t="s">
        <v>32</v>
      </c>
      <c r="S63" s="20">
        <v>20601242662</v>
      </c>
      <c r="T63" s="20" t="s">
        <v>33</v>
      </c>
      <c r="U63" s="20" t="s">
        <v>123</v>
      </c>
      <c r="V63" s="20" t="s">
        <v>147</v>
      </c>
      <c r="W63" s="20" t="s">
        <v>31</v>
      </c>
      <c r="X63" s="26" t="s">
        <v>151</v>
      </c>
      <c r="Y63" s="26" t="s">
        <v>31</v>
      </c>
      <c r="Z63" s="26" t="s">
        <v>31</v>
      </c>
      <c r="AA63" s="26" t="s">
        <v>31</v>
      </c>
      <c r="AB63" s="26">
        <v>22</v>
      </c>
      <c r="AC63" s="27" t="s">
        <v>111</v>
      </c>
      <c r="AD63" s="27" t="s">
        <v>27</v>
      </c>
      <c r="AE63" s="27"/>
      <c r="AF63" s="45">
        <v>44266</v>
      </c>
      <c r="AG63" s="45"/>
      <c r="AH63" s="45"/>
      <c r="AI63" s="45"/>
      <c r="AJ63" s="45">
        <v>44733</v>
      </c>
      <c r="AK63" s="27"/>
    </row>
    <row r="64" spans="1:706" s="1" customFormat="1" hidden="1" x14ac:dyDescent="0.25">
      <c r="A64" s="20">
        <v>5</v>
      </c>
      <c r="B64" s="20" t="s">
        <v>27</v>
      </c>
      <c r="C64" s="20" t="s">
        <v>512</v>
      </c>
      <c r="D64" s="20" t="s">
        <v>161</v>
      </c>
      <c r="E64" s="20"/>
      <c r="F64" s="20" t="s">
        <v>28</v>
      </c>
      <c r="G64" s="20">
        <v>26731168</v>
      </c>
      <c r="H64" s="20" t="s">
        <v>86</v>
      </c>
      <c r="I64" s="20" t="s">
        <v>131</v>
      </c>
      <c r="J64" s="20" t="s">
        <v>132</v>
      </c>
      <c r="K64" s="22" t="str">
        <f t="shared" si="2"/>
        <v>CARRANZA CULQUI EDGAR</v>
      </c>
      <c r="L64" s="20" t="s">
        <v>29</v>
      </c>
      <c r="M64" s="21">
        <v>28359</v>
      </c>
      <c r="N64" s="20">
        <v>982098952</v>
      </c>
      <c r="O64" s="24" t="s">
        <v>232</v>
      </c>
      <c r="P64" s="20" t="s">
        <v>30</v>
      </c>
      <c r="Q64" s="20" t="s">
        <v>27</v>
      </c>
      <c r="R64" s="25" t="s">
        <v>32</v>
      </c>
      <c r="S64" s="20">
        <v>20601242662</v>
      </c>
      <c r="T64" s="20" t="s">
        <v>33</v>
      </c>
      <c r="U64" s="20" t="s">
        <v>123</v>
      </c>
      <c r="V64" s="20" t="s">
        <v>102</v>
      </c>
      <c r="W64" s="20" t="s">
        <v>31</v>
      </c>
      <c r="X64" s="26" t="s">
        <v>144</v>
      </c>
      <c r="Y64" s="26" t="s">
        <v>31</v>
      </c>
      <c r="Z64" s="26" t="s">
        <v>31</v>
      </c>
      <c r="AA64" s="26" t="s">
        <v>31</v>
      </c>
      <c r="AB64" s="26">
        <v>44</v>
      </c>
      <c r="AC64" s="27" t="s">
        <v>111</v>
      </c>
      <c r="AD64" s="27" t="s">
        <v>27</v>
      </c>
      <c r="AE64" s="27"/>
      <c r="AF64" s="45">
        <v>44266</v>
      </c>
      <c r="AG64" s="45"/>
      <c r="AH64" s="45"/>
      <c r="AI64" s="45"/>
      <c r="AJ64" s="45">
        <v>44720</v>
      </c>
      <c r="AK64" s="27"/>
    </row>
    <row r="65" spans="1:898" s="1" customFormat="1" hidden="1" x14ac:dyDescent="0.25">
      <c r="A65" s="20">
        <v>45</v>
      </c>
      <c r="B65" s="20" t="s">
        <v>27</v>
      </c>
      <c r="C65" s="20" t="s">
        <v>512</v>
      </c>
      <c r="D65" s="20" t="s">
        <v>287</v>
      </c>
      <c r="E65" s="20"/>
      <c r="F65" s="20" t="s">
        <v>28</v>
      </c>
      <c r="G65" s="32">
        <v>26695012</v>
      </c>
      <c r="H65" s="20" t="s">
        <v>273</v>
      </c>
      <c r="I65" s="20" t="s">
        <v>274</v>
      </c>
      <c r="J65" s="20" t="s">
        <v>275</v>
      </c>
      <c r="K65" s="22" t="s">
        <v>276</v>
      </c>
      <c r="L65" s="20" t="s">
        <v>29</v>
      </c>
      <c r="M65" s="23" t="s">
        <v>277</v>
      </c>
      <c r="N65" s="20">
        <v>950257578</v>
      </c>
      <c r="O65" s="24" t="s">
        <v>232</v>
      </c>
      <c r="P65" s="20" t="s">
        <v>30</v>
      </c>
      <c r="Q65" s="20" t="s">
        <v>27</v>
      </c>
      <c r="R65" s="25" t="s">
        <v>32</v>
      </c>
      <c r="S65" s="20">
        <v>20601242657</v>
      </c>
      <c r="T65" s="20" t="s">
        <v>33</v>
      </c>
      <c r="U65" s="20" t="s">
        <v>123</v>
      </c>
      <c r="V65" s="20" t="s">
        <v>279</v>
      </c>
      <c r="W65" s="20" t="s">
        <v>31</v>
      </c>
      <c r="X65" s="26" t="s">
        <v>280</v>
      </c>
      <c r="Y65" s="26" t="s">
        <v>281</v>
      </c>
      <c r="Z65" s="26" t="s">
        <v>281</v>
      </c>
      <c r="AA65" s="26" t="s">
        <v>31</v>
      </c>
      <c r="AB65" s="26">
        <v>53</v>
      </c>
      <c r="AC65" s="27" t="s">
        <v>111</v>
      </c>
      <c r="AD65" s="27" t="s">
        <v>27</v>
      </c>
      <c r="AE65" s="27"/>
      <c r="AF65" s="45">
        <v>44371</v>
      </c>
      <c r="AG65" s="45"/>
      <c r="AH65" s="45"/>
      <c r="AI65" s="45"/>
      <c r="AJ65" s="45">
        <v>44734</v>
      </c>
      <c r="AK65" s="27"/>
    </row>
    <row r="66" spans="1:898" s="1" customFormat="1" hidden="1" x14ac:dyDescent="0.25">
      <c r="A66" s="20">
        <v>71</v>
      </c>
      <c r="B66" s="20" t="s">
        <v>27</v>
      </c>
      <c r="C66" s="20" t="s">
        <v>512</v>
      </c>
      <c r="D66" s="20" t="s">
        <v>426</v>
      </c>
      <c r="E66" s="20"/>
      <c r="F66" s="20" t="s">
        <v>28</v>
      </c>
      <c r="G66" s="20">
        <v>71770643</v>
      </c>
      <c r="H66" s="20" t="s">
        <v>205</v>
      </c>
      <c r="I66" s="20" t="s">
        <v>190</v>
      </c>
      <c r="J66" s="20" t="s">
        <v>419</v>
      </c>
      <c r="K66" s="22" t="s">
        <v>420</v>
      </c>
      <c r="L66" s="20" t="s">
        <v>29</v>
      </c>
      <c r="M66" s="21">
        <v>36685</v>
      </c>
      <c r="N66" s="20">
        <v>947946040</v>
      </c>
      <c r="O66" s="24" t="s">
        <v>232</v>
      </c>
      <c r="P66" s="20" t="s">
        <v>30</v>
      </c>
      <c r="Q66" s="20" t="s">
        <v>27</v>
      </c>
      <c r="R66" s="31" t="s">
        <v>32</v>
      </c>
      <c r="S66" s="20">
        <v>20601242657</v>
      </c>
      <c r="T66" s="20" t="s">
        <v>33</v>
      </c>
      <c r="U66" s="20" t="s">
        <v>123</v>
      </c>
      <c r="V66" s="20" t="s">
        <v>147</v>
      </c>
      <c r="W66" s="20" t="s">
        <v>31</v>
      </c>
      <c r="X66" s="26" t="s">
        <v>421</v>
      </c>
      <c r="Y66" s="26" t="s">
        <v>31</v>
      </c>
      <c r="Z66" s="26" t="s">
        <v>31</v>
      </c>
      <c r="AA66" s="26" t="s">
        <v>31</v>
      </c>
      <c r="AB66" s="26">
        <v>21</v>
      </c>
      <c r="AC66" s="27" t="s">
        <v>111</v>
      </c>
      <c r="AD66" s="27" t="s">
        <v>27</v>
      </c>
      <c r="AE66" s="27"/>
      <c r="AF66" s="45">
        <v>44461</v>
      </c>
      <c r="AG66" s="45"/>
      <c r="AH66" s="45"/>
      <c r="AI66" s="45"/>
      <c r="AJ66" s="45">
        <v>44783</v>
      </c>
      <c r="AK66" s="27"/>
    </row>
    <row r="67" spans="1:898" s="41" customFormat="1" hidden="1" x14ac:dyDescent="0.25">
      <c r="A67" s="20">
        <v>92</v>
      </c>
      <c r="B67" s="20" t="s">
        <v>27</v>
      </c>
      <c r="C67" s="20" t="s">
        <v>512</v>
      </c>
      <c r="D67" s="20" t="s">
        <v>544</v>
      </c>
      <c r="E67" s="20"/>
      <c r="F67" s="20" t="s">
        <v>28</v>
      </c>
      <c r="G67" s="20">
        <v>41043275</v>
      </c>
      <c r="H67" s="20" t="s">
        <v>537</v>
      </c>
      <c r="I67" s="20" t="s">
        <v>538</v>
      </c>
      <c r="J67" s="20" t="s">
        <v>539</v>
      </c>
      <c r="K67" s="22" t="s">
        <v>540</v>
      </c>
      <c r="L67" s="20" t="s">
        <v>29</v>
      </c>
      <c r="M67" s="21">
        <v>29706</v>
      </c>
      <c r="N67" s="20">
        <v>986774925</v>
      </c>
      <c r="O67" s="24" t="s">
        <v>232</v>
      </c>
      <c r="P67" s="20" t="s">
        <v>30</v>
      </c>
      <c r="Q67" s="20" t="s">
        <v>27</v>
      </c>
      <c r="R67" s="31" t="s">
        <v>32</v>
      </c>
      <c r="S67" s="20">
        <v>20601242657</v>
      </c>
      <c r="T67" s="20" t="s">
        <v>33</v>
      </c>
      <c r="U67" s="20" t="s">
        <v>123</v>
      </c>
      <c r="V67" s="20" t="s">
        <v>147</v>
      </c>
      <c r="W67" s="20" t="s">
        <v>45</v>
      </c>
      <c r="X67" s="26" t="s">
        <v>541</v>
      </c>
      <c r="Y67" s="26" t="s">
        <v>202</v>
      </c>
      <c r="Z67" s="26" t="s">
        <v>203</v>
      </c>
      <c r="AA67" s="26" t="s">
        <v>45</v>
      </c>
      <c r="AB67" s="26">
        <v>40</v>
      </c>
      <c r="AC67" s="27" t="s">
        <v>34</v>
      </c>
      <c r="AD67" s="27" t="s">
        <v>27</v>
      </c>
      <c r="AE67" s="27"/>
      <c r="AF67" s="45">
        <v>44650</v>
      </c>
      <c r="AG67" s="45"/>
      <c r="AH67" s="45"/>
      <c r="AI67" s="45"/>
      <c r="AJ67" s="45">
        <v>44775</v>
      </c>
      <c r="AK67" s="27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</row>
    <row r="68" spans="1:898" s="1" customFormat="1" hidden="1" x14ac:dyDescent="0.25">
      <c r="A68" s="20">
        <v>9</v>
      </c>
      <c r="B68" s="20" t="s">
        <v>27</v>
      </c>
      <c r="C68" s="20" t="s">
        <v>512</v>
      </c>
      <c r="D68" s="20" t="s">
        <v>251</v>
      </c>
      <c r="E68" s="20"/>
      <c r="F68" s="20" t="s">
        <v>28</v>
      </c>
      <c r="G68" s="20">
        <v>43870415</v>
      </c>
      <c r="H68" s="20" t="s">
        <v>185</v>
      </c>
      <c r="I68" s="20" t="s">
        <v>186</v>
      </c>
      <c r="J68" s="20" t="s">
        <v>184</v>
      </c>
      <c r="K68" s="22" t="str">
        <f t="shared" ref="K68:K69" si="3">CONCATENATE(H68," ",I68," ",J68)</f>
        <v>LLANOS GARCIA WILFREDO</v>
      </c>
      <c r="L68" s="20" t="s">
        <v>29</v>
      </c>
      <c r="M68" s="21">
        <v>31607</v>
      </c>
      <c r="N68" s="20">
        <v>974557423</v>
      </c>
      <c r="O68" s="24" t="s">
        <v>232</v>
      </c>
      <c r="P68" s="20" t="s">
        <v>30</v>
      </c>
      <c r="Q68" s="20" t="s">
        <v>27</v>
      </c>
      <c r="R68" s="25" t="s">
        <v>32</v>
      </c>
      <c r="S68" s="20">
        <v>20601242662</v>
      </c>
      <c r="T68" s="20" t="s">
        <v>33</v>
      </c>
      <c r="U68" s="20" t="s">
        <v>123</v>
      </c>
      <c r="V68" s="20" t="s">
        <v>109</v>
      </c>
      <c r="W68" s="20" t="s">
        <v>31</v>
      </c>
      <c r="X68" s="26" t="s">
        <v>328</v>
      </c>
      <c r="Y68" s="26" t="s">
        <v>31</v>
      </c>
      <c r="Z68" s="26" t="s">
        <v>31</v>
      </c>
      <c r="AA68" s="26" t="s">
        <v>31</v>
      </c>
      <c r="AB68" s="26">
        <v>35</v>
      </c>
      <c r="AC68" s="27" t="s">
        <v>111</v>
      </c>
      <c r="AD68" s="27" t="s">
        <v>27</v>
      </c>
      <c r="AE68" s="27"/>
      <c r="AF68" s="45">
        <v>44301</v>
      </c>
      <c r="AG68" s="45"/>
      <c r="AH68" s="45"/>
      <c r="AI68" s="45"/>
      <c r="AJ68" s="46">
        <v>44741</v>
      </c>
      <c r="AK68" s="27"/>
    </row>
    <row r="69" spans="1:898" s="1" customFormat="1" hidden="1" x14ac:dyDescent="0.25">
      <c r="A69" s="20">
        <v>22</v>
      </c>
      <c r="B69" s="20" t="s">
        <v>27</v>
      </c>
      <c r="C69" s="20" t="s">
        <v>512</v>
      </c>
      <c r="D69" s="20" t="s">
        <v>258</v>
      </c>
      <c r="E69" s="20"/>
      <c r="F69" s="20" t="s">
        <v>28</v>
      </c>
      <c r="G69" s="20">
        <v>71758380</v>
      </c>
      <c r="H69" s="20" t="s">
        <v>205</v>
      </c>
      <c r="I69" s="20" t="s">
        <v>206</v>
      </c>
      <c r="J69" s="20" t="s">
        <v>204</v>
      </c>
      <c r="K69" s="22" t="str">
        <f t="shared" si="3"/>
        <v>VILCA  CONDOR INELSON</v>
      </c>
      <c r="L69" s="20" t="s">
        <v>29</v>
      </c>
      <c r="M69" s="21">
        <v>36525</v>
      </c>
      <c r="N69" s="20">
        <v>935254843</v>
      </c>
      <c r="O69" s="24" t="s">
        <v>232</v>
      </c>
      <c r="P69" s="20" t="s">
        <v>30</v>
      </c>
      <c r="Q69" s="20" t="s">
        <v>27</v>
      </c>
      <c r="R69" s="25" t="s">
        <v>32</v>
      </c>
      <c r="S69" s="20">
        <v>20601242657</v>
      </c>
      <c r="T69" s="20" t="s">
        <v>33</v>
      </c>
      <c r="U69" s="20" t="s">
        <v>123</v>
      </c>
      <c r="V69" s="20" t="s">
        <v>109</v>
      </c>
      <c r="W69" s="20" t="s">
        <v>31</v>
      </c>
      <c r="X69" s="26" t="s">
        <v>212</v>
      </c>
      <c r="Y69" s="26" t="s">
        <v>31</v>
      </c>
      <c r="Z69" s="26" t="s">
        <v>31</v>
      </c>
      <c r="AA69" s="26" t="s">
        <v>31</v>
      </c>
      <c r="AB69" s="26">
        <v>22</v>
      </c>
      <c r="AC69" s="27" t="s">
        <v>111</v>
      </c>
      <c r="AD69" s="27" t="s">
        <v>27</v>
      </c>
      <c r="AE69" s="27"/>
      <c r="AF69" s="45">
        <v>44301</v>
      </c>
      <c r="AG69" s="45"/>
      <c r="AH69" s="45"/>
      <c r="AI69" s="45"/>
      <c r="AJ69" s="46">
        <v>44727</v>
      </c>
      <c r="AK69" s="27"/>
    </row>
    <row r="70" spans="1:898" s="41" customFormat="1" hidden="1" x14ac:dyDescent="0.25">
      <c r="A70" s="20">
        <v>59</v>
      </c>
      <c r="B70" s="20" t="s">
        <v>27</v>
      </c>
      <c r="C70" s="20" t="s">
        <v>512</v>
      </c>
      <c r="D70" s="20" t="s">
        <v>381</v>
      </c>
      <c r="E70" s="20"/>
      <c r="F70" s="20" t="s">
        <v>28</v>
      </c>
      <c r="G70" s="20">
        <v>70845004</v>
      </c>
      <c r="H70" s="20" t="s">
        <v>310</v>
      </c>
      <c r="I70" s="20" t="s">
        <v>395</v>
      </c>
      <c r="J70" s="20" t="s">
        <v>311</v>
      </c>
      <c r="K70" s="22" t="s">
        <v>312</v>
      </c>
      <c r="L70" s="20" t="s">
        <v>29</v>
      </c>
      <c r="M70" s="21">
        <v>36326</v>
      </c>
      <c r="N70" s="20">
        <v>912855776</v>
      </c>
      <c r="O70" s="24" t="s">
        <v>232</v>
      </c>
      <c r="P70" s="20" t="s">
        <v>30</v>
      </c>
      <c r="Q70" s="20" t="s">
        <v>27</v>
      </c>
      <c r="R70" s="31" t="s">
        <v>32</v>
      </c>
      <c r="S70" s="20">
        <v>20601242657</v>
      </c>
      <c r="T70" s="20" t="s">
        <v>33</v>
      </c>
      <c r="U70" s="20" t="s">
        <v>123</v>
      </c>
      <c r="V70" s="20" t="s">
        <v>147</v>
      </c>
      <c r="W70" s="20" t="s">
        <v>45</v>
      </c>
      <c r="X70" s="26" t="s">
        <v>313</v>
      </c>
      <c r="Y70" s="26" t="s">
        <v>202</v>
      </c>
      <c r="Z70" s="26" t="s">
        <v>203</v>
      </c>
      <c r="AA70" s="26" t="s">
        <v>45</v>
      </c>
      <c r="AB70" s="26">
        <v>22</v>
      </c>
      <c r="AC70" s="27" t="s">
        <v>34</v>
      </c>
      <c r="AD70" s="27" t="s">
        <v>27</v>
      </c>
      <c r="AE70" s="27"/>
      <c r="AF70" s="45">
        <v>44392</v>
      </c>
      <c r="AG70" s="45"/>
      <c r="AH70" s="45"/>
      <c r="AI70" s="45"/>
      <c r="AJ70" s="45" t="s">
        <v>523</v>
      </c>
      <c r="AK70" s="45" t="s">
        <v>481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</row>
    <row r="71" spans="1:898" s="1" customFormat="1" hidden="1" x14ac:dyDescent="0.25">
      <c r="A71" s="20">
        <v>53</v>
      </c>
      <c r="B71" s="20" t="s">
        <v>27</v>
      </c>
      <c r="C71" s="20" t="s">
        <v>512</v>
      </c>
      <c r="D71" s="20" t="s">
        <v>289</v>
      </c>
      <c r="E71" s="20"/>
      <c r="F71" s="20" t="s">
        <v>28</v>
      </c>
      <c r="G71" s="20">
        <v>74949067</v>
      </c>
      <c r="H71" s="20" t="s">
        <v>264</v>
      </c>
      <c r="I71" s="20" t="s">
        <v>48</v>
      </c>
      <c r="J71" s="20" t="s">
        <v>265</v>
      </c>
      <c r="K71" s="22" t="s">
        <v>266</v>
      </c>
      <c r="L71" s="20" t="s">
        <v>29</v>
      </c>
      <c r="M71" s="23" t="s">
        <v>268</v>
      </c>
      <c r="N71" s="20">
        <v>917678199</v>
      </c>
      <c r="O71" s="24" t="s">
        <v>232</v>
      </c>
      <c r="P71" s="20" t="s">
        <v>30</v>
      </c>
      <c r="Q71" s="20" t="s">
        <v>27</v>
      </c>
      <c r="R71" s="25" t="s">
        <v>32</v>
      </c>
      <c r="S71" s="20">
        <v>20601242657</v>
      </c>
      <c r="T71" s="20" t="s">
        <v>33</v>
      </c>
      <c r="U71" s="20" t="s">
        <v>123</v>
      </c>
      <c r="V71" s="20" t="s">
        <v>147</v>
      </c>
      <c r="W71" s="20" t="s">
        <v>31</v>
      </c>
      <c r="X71" s="26" t="s">
        <v>269</v>
      </c>
      <c r="Y71" s="26" t="s">
        <v>31</v>
      </c>
      <c r="Z71" s="26" t="s">
        <v>31</v>
      </c>
      <c r="AA71" s="26" t="s">
        <v>31</v>
      </c>
      <c r="AB71" s="26">
        <v>24</v>
      </c>
      <c r="AC71" s="27" t="s">
        <v>111</v>
      </c>
      <c r="AD71" s="27" t="s">
        <v>27</v>
      </c>
      <c r="AE71" s="27"/>
      <c r="AF71" s="45">
        <v>44364</v>
      </c>
      <c r="AG71" s="45"/>
      <c r="AH71" s="45"/>
      <c r="AI71" s="45"/>
      <c r="AJ71" s="45">
        <v>44742</v>
      </c>
      <c r="AK71" s="27"/>
    </row>
    <row r="72" spans="1:898" s="1" customFormat="1" hidden="1" x14ac:dyDescent="0.25">
      <c r="A72" s="20">
        <v>18</v>
      </c>
      <c r="B72" s="20" t="s">
        <v>27</v>
      </c>
      <c r="C72" s="20" t="s">
        <v>512</v>
      </c>
      <c r="D72" s="20" t="s">
        <v>174</v>
      </c>
      <c r="E72" s="20"/>
      <c r="F72" s="20" t="s">
        <v>28</v>
      </c>
      <c r="G72" s="20">
        <v>46843843</v>
      </c>
      <c r="H72" s="20" t="s">
        <v>35</v>
      </c>
      <c r="I72" s="20" t="s">
        <v>84</v>
      </c>
      <c r="J72" s="20" t="s">
        <v>85</v>
      </c>
      <c r="K72" s="22" t="str">
        <f t="shared" ref="K72" si="4">CONCATENATE(H72," ",I72," ",J72)</f>
        <v>CUEVA DURAN CELESTINO</v>
      </c>
      <c r="L72" s="20" t="s">
        <v>29</v>
      </c>
      <c r="M72" s="21">
        <v>33534</v>
      </c>
      <c r="N72" s="20">
        <v>996616291</v>
      </c>
      <c r="O72" s="24" t="s">
        <v>232</v>
      </c>
      <c r="P72" s="20" t="s">
        <v>30</v>
      </c>
      <c r="Q72" s="20" t="s">
        <v>27</v>
      </c>
      <c r="R72" s="25" t="s">
        <v>32</v>
      </c>
      <c r="S72" s="20">
        <v>20601242657</v>
      </c>
      <c r="T72" s="20" t="s">
        <v>33</v>
      </c>
      <c r="U72" s="20" t="s">
        <v>123</v>
      </c>
      <c r="V72" s="20" t="s">
        <v>109</v>
      </c>
      <c r="W72" s="20" t="s">
        <v>31</v>
      </c>
      <c r="X72" s="26" t="s">
        <v>210</v>
      </c>
      <c r="Y72" s="26" t="s">
        <v>31</v>
      </c>
      <c r="Z72" s="26" t="s">
        <v>31</v>
      </c>
      <c r="AA72" s="26" t="s">
        <v>31</v>
      </c>
      <c r="AB72" s="26">
        <v>30</v>
      </c>
      <c r="AC72" s="27" t="s">
        <v>111</v>
      </c>
      <c r="AD72" s="27" t="s">
        <v>27</v>
      </c>
      <c r="AE72" s="27"/>
      <c r="AF72" s="45">
        <v>44280</v>
      </c>
      <c r="AG72" s="45"/>
      <c r="AH72" s="45"/>
      <c r="AI72" s="45"/>
      <c r="AJ72" s="45">
        <v>44782</v>
      </c>
      <c r="AK72" s="27"/>
    </row>
    <row r="73" spans="1:898" s="28" customFormat="1" x14ac:dyDescent="0.25">
      <c r="A73" s="20">
        <v>82</v>
      </c>
      <c r="B73" s="20" t="s">
        <v>27</v>
      </c>
      <c r="C73" s="20" t="s">
        <v>512</v>
      </c>
      <c r="D73" s="20" t="s">
        <v>516</v>
      </c>
      <c r="E73" s="20"/>
      <c r="F73" s="20" t="s">
        <v>28</v>
      </c>
      <c r="G73" s="20">
        <v>71770676</v>
      </c>
      <c r="H73" s="20" t="s">
        <v>93</v>
      </c>
      <c r="I73" s="20" t="s">
        <v>94</v>
      </c>
      <c r="J73" s="20" t="s">
        <v>491</v>
      </c>
      <c r="K73" s="37" t="s">
        <v>483</v>
      </c>
      <c r="L73" s="20" t="s">
        <v>29</v>
      </c>
      <c r="M73" s="38">
        <v>35836</v>
      </c>
      <c r="N73" s="20">
        <v>913622172</v>
      </c>
      <c r="O73" s="24" t="s">
        <v>232</v>
      </c>
      <c r="P73" s="20" t="s">
        <v>30</v>
      </c>
      <c r="Q73" s="20" t="s">
        <v>27</v>
      </c>
      <c r="R73" s="31" t="s">
        <v>32</v>
      </c>
      <c r="S73" s="20">
        <v>20601242657</v>
      </c>
      <c r="T73" s="20" t="s">
        <v>33</v>
      </c>
      <c r="U73" s="20" t="s">
        <v>123</v>
      </c>
      <c r="V73" s="20" t="s">
        <v>147</v>
      </c>
      <c r="W73" s="20" t="s">
        <v>31</v>
      </c>
      <c r="X73" s="26" t="s">
        <v>485</v>
      </c>
      <c r="Y73" s="26" t="s">
        <v>31</v>
      </c>
      <c r="Z73" s="26" t="s">
        <v>31</v>
      </c>
      <c r="AA73" s="26" t="s">
        <v>31</v>
      </c>
      <c r="AB73" s="26">
        <v>24</v>
      </c>
      <c r="AC73" s="27" t="s">
        <v>111</v>
      </c>
      <c r="AD73" s="27" t="s">
        <v>27</v>
      </c>
      <c r="AE73" s="27"/>
      <c r="AF73" s="45">
        <v>44568</v>
      </c>
      <c r="AG73" s="45"/>
      <c r="AH73" s="45"/>
      <c r="AI73" s="45"/>
      <c r="AJ73" s="45" t="s">
        <v>627</v>
      </c>
      <c r="AK73" s="26" t="s">
        <v>482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  <c r="IW73" s="41"/>
      <c r="IX73" s="41"/>
      <c r="IY73" s="41"/>
      <c r="IZ73" s="41"/>
      <c r="JA73" s="41"/>
      <c r="JB73" s="41"/>
      <c r="JC73" s="41"/>
      <c r="JD73" s="41"/>
      <c r="JE73" s="41"/>
      <c r="JF73" s="41"/>
      <c r="JG73" s="41"/>
      <c r="JH73" s="41"/>
      <c r="JI73" s="41"/>
      <c r="JJ73" s="41"/>
      <c r="JK73" s="41"/>
      <c r="JL73" s="41"/>
      <c r="JM73" s="41"/>
      <c r="JN73" s="41"/>
      <c r="JO73" s="41"/>
      <c r="JP73" s="41"/>
      <c r="JQ73" s="41"/>
      <c r="JR73" s="41"/>
      <c r="JS73" s="41"/>
      <c r="JT73" s="41"/>
      <c r="JU73" s="41"/>
      <c r="JV73" s="41"/>
      <c r="JW73" s="41"/>
      <c r="JX73" s="41"/>
      <c r="JY73" s="41"/>
      <c r="JZ73" s="41"/>
      <c r="KA73" s="41"/>
      <c r="KB73" s="41"/>
      <c r="KC73" s="41"/>
      <c r="KD73" s="41"/>
      <c r="KE73" s="41"/>
      <c r="KF73" s="41"/>
      <c r="KG73" s="41"/>
      <c r="KH73" s="41"/>
      <c r="KI73" s="41"/>
      <c r="KJ73" s="41"/>
      <c r="KK73" s="41"/>
      <c r="KL73" s="41"/>
      <c r="KM73" s="41"/>
      <c r="KN73" s="41"/>
      <c r="KO73" s="41"/>
      <c r="KP73" s="41"/>
      <c r="KQ73" s="41"/>
      <c r="KR73" s="41"/>
      <c r="KS73" s="41"/>
      <c r="KT73" s="41"/>
      <c r="KU73" s="41"/>
      <c r="KV73" s="41"/>
      <c r="KW73" s="41"/>
      <c r="KX73" s="41"/>
      <c r="KY73" s="41"/>
      <c r="KZ73" s="41"/>
      <c r="LA73" s="41"/>
      <c r="LB73" s="41"/>
      <c r="LC73" s="41"/>
      <c r="LD73" s="41"/>
      <c r="LE73" s="41"/>
      <c r="LF73" s="41"/>
      <c r="LG73" s="41"/>
      <c r="LH73" s="41"/>
      <c r="LI73" s="41"/>
      <c r="LJ73" s="41"/>
      <c r="LK73" s="41"/>
      <c r="LL73" s="41"/>
      <c r="LM73" s="41"/>
      <c r="LN73" s="41"/>
      <c r="LO73" s="41"/>
      <c r="LP73" s="41"/>
      <c r="LQ73" s="41"/>
      <c r="LR73" s="41"/>
      <c r="LS73" s="41"/>
      <c r="LT73" s="41"/>
      <c r="LU73" s="41"/>
      <c r="LV73" s="41"/>
      <c r="LW73" s="41"/>
      <c r="LX73" s="41"/>
      <c r="LY73" s="41"/>
      <c r="LZ73" s="41"/>
      <c r="MA73" s="41"/>
      <c r="MB73" s="41"/>
      <c r="MC73" s="41"/>
      <c r="MD73" s="41"/>
      <c r="ME73" s="41"/>
      <c r="MF73" s="41"/>
      <c r="MG73" s="41"/>
      <c r="MH73" s="41"/>
      <c r="MI73" s="41"/>
      <c r="MJ73" s="41"/>
      <c r="MK73" s="41"/>
      <c r="ML73" s="41"/>
      <c r="MM73" s="41"/>
      <c r="MN73" s="41"/>
      <c r="MO73" s="41"/>
      <c r="MP73" s="41"/>
      <c r="MQ73" s="41"/>
      <c r="MR73" s="41"/>
      <c r="MS73" s="41"/>
      <c r="MT73" s="41"/>
      <c r="MU73" s="41"/>
      <c r="MV73" s="41"/>
      <c r="MW73" s="41"/>
      <c r="MX73" s="41"/>
      <c r="MY73" s="41"/>
      <c r="MZ73" s="41"/>
      <c r="NA73" s="41"/>
      <c r="NB73" s="41"/>
      <c r="NC73" s="41"/>
      <c r="ND73" s="41"/>
      <c r="NE73" s="41"/>
      <c r="NF73" s="41"/>
      <c r="NG73" s="41"/>
      <c r="NH73" s="41"/>
      <c r="NI73" s="41"/>
      <c r="NJ73" s="41"/>
      <c r="NK73" s="41"/>
      <c r="NL73" s="41"/>
      <c r="NM73" s="41"/>
      <c r="NN73" s="41"/>
      <c r="NO73" s="41"/>
      <c r="NP73" s="41"/>
      <c r="NQ73" s="41"/>
      <c r="NR73" s="41"/>
      <c r="NS73" s="41"/>
      <c r="NT73" s="41"/>
      <c r="NU73" s="41"/>
      <c r="NV73" s="41"/>
      <c r="NW73" s="41"/>
      <c r="NX73" s="41"/>
      <c r="NY73" s="41"/>
      <c r="NZ73" s="41"/>
      <c r="OA73" s="41"/>
      <c r="OB73" s="41"/>
      <c r="OC73" s="41"/>
      <c r="OD73" s="41"/>
      <c r="OE73" s="41"/>
      <c r="OF73" s="41"/>
      <c r="OG73" s="41"/>
      <c r="OH73" s="41"/>
      <c r="OI73" s="41"/>
      <c r="OJ73" s="41"/>
      <c r="OK73" s="41"/>
      <c r="OL73" s="41"/>
      <c r="OM73" s="41"/>
      <c r="ON73" s="41"/>
      <c r="OO73" s="41"/>
      <c r="OP73" s="41"/>
      <c r="OQ73" s="41"/>
      <c r="OR73" s="41"/>
      <c r="OS73" s="41"/>
      <c r="OT73" s="41"/>
      <c r="OU73" s="41"/>
      <c r="OV73" s="41"/>
      <c r="OW73" s="41"/>
      <c r="OX73" s="41"/>
      <c r="OY73" s="41"/>
      <c r="OZ73" s="41"/>
      <c r="PA73" s="41"/>
      <c r="PB73" s="41"/>
      <c r="PC73" s="41"/>
      <c r="PD73" s="41"/>
      <c r="PE73" s="41"/>
      <c r="PF73" s="41"/>
      <c r="PG73" s="41"/>
      <c r="PH73" s="41"/>
      <c r="PI73" s="41"/>
      <c r="PJ73" s="41"/>
      <c r="PK73" s="41"/>
      <c r="PL73" s="41"/>
      <c r="PM73" s="41"/>
      <c r="PN73" s="41"/>
      <c r="PO73" s="41"/>
      <c r="PP73" s="41"/>
      <c r="PQ73" s="41"/>
      <c r="PR73" s="41"/>
      <c r="PS73" s="41"/>
      <c r="PT73" s="41"/>
      <c r="PU73" s="41"/>
      <c r="PV73" s="41"/>
      <c r="PW73" s="41"/>
      <c r="PX73" s="41"/>
      <c r="PY73" s="41"/>
      <c r="PZ73" s="41"/>
      <c r="QA73" s="41"/>
      <c r="QB73" s="41"/>
      <c r="QC73" s="41"/>
      <c r="QD73" s="41"/>
      <c r="QE73" s="41"/>
      <c r="QF73" s="41"/>
      <c r="QG73" s="41"/>
      <c r="QH73" s="41"/>
      <c r="QI73" s="41"/>
      <c r="QJ73" s="41"/>
      <c r="QK73" s="41"/>
      <c r="QL73" s="41"/>
      <c r="QM73" s="41"/>
      <c r="QN73" s="41"/>
      <c r="QO73" s="41"/>
      <c r="QP73" s="41"/>
      <c r="QQ73" s="41"/>
      <c r="QR73" s="41"/>
      <c r="QS73" s="41"/>
      <c r="QT73" s="41"/>
      <c r="QU73" s="41"/>
      <c r="QV73" s="41"/>
      <c r="QW73" s="41"/>
      <c r="QX73" s="41"/>
      <c r="QY73" s="41"/>
      <c r="QZ73" s="41"/>
      <c r="RA73" s="41"/>
      <c r="RB73" s="41"/>
      <c r="RC73" s="41"/>
      <c r="RD73" s="41"/>
      <c r="RE73" s="41"/>
      <c r="RF73" s="41"/>
      <c r="RG73" s="41"/>
      <c r="RH73" s="41"/>
      <c r="RI73" s="41"/>
      <c r="RJ73" s="41"/>
      <c r="RK73" s="41"/>
      <c r="RL73" s="41"/>
      <c r="RM73" s="41"/>
      <c r="RN73" s="41"/>
      <c r="RO73" s="41"/>
      <c r="RP73" s="41"/>
      <c r="RQ73" s="41"/>
      <c r="RR73" s="41"/>
      <c r="RS73" s="41"/>
      <c r="RT73" s="41"/>
      <c r="RU73" s="41"/>
      <c r="RV73" s="41"/>
      <c r="RW73" s="41"/>
      <c r="RX73" s="41"/>
      <c r="RY73" s="41"/>
      <c r="RZ73" s="41"/>
      <c r="SA73" s="41"/>
      <c r="SB73" s="41"/>
      <c r="SC73" s="41"/>
      <c r="SD73" s="41"/>
      <c r="SE73" s="41"/>
      <c r="SF73" s="41"/>
      <c r="SG73" s="41"/>
      <c r="SH73" s="41"/>
      <c r="SI73" s="41"/>
      <c r="SJ73" s="41"/>
      <c r="SK73" s="41"/>
      <c r="SL73" s="41"/>
      <c r="SM73" s="41"/>
      <c r="SN73" s="41"/>
      <c r="SO73" s="41"/>
      <c r="SP73" s="41"/>
      <c r="SQ73" s="41"/>
      <c r="SR73" s="41"/>
      <c r="SS73" s="41"/>
      <c r="ST73" s="41"/>
      <c r="SU73" s="41"/>
      <c r="SV73" s="41"/>
      <c r="SW73" s="41"/>
      <c r="SX73" s="41"/>
      <c r="SY73" s="41"/>
      <c r="SZ73" s="41"/>
      <c r="TA73" s="41"/>
      <c r="TB73" s="41"/>
      <c r="TC73" s="41"/>
      <c r="TD73" s="41"/>
      <c r="TE73" s="41"/>
      <c r="TF73" s="41"/>
      <c r="TG73" s="41"/>
      <c r="TH73" s="41"/>
      <c r="TI73" s="41"/>
      <c r="TJ73" s="41"/>
      <c r="TK73" s="41"/>
      <c r="TL73" s="41"/>
      <c r="TM73" s="41"/>
      <c r="TN73" s="41"/>
      <c r="TO73" s="41"/>
      <c r="TP73" s="41"/>
      <c r="TQ73" s="41"/>
      <c r="TR73" s="41"/>
      <c r="TS73" s="41"/>
      <c r="TT73" s="41"/>
      <c r="TU73" s="41"/>
      <c r="TV73" s="41"/>
      <c r="TW73" s="41"/>
      <c r="TX73" s="41"/>
      <c r="TY73" s="41"/>
      <c r="TZ73" s="41"/>
      <c r="UA73" s="41"/>
      <c r="UB73" s="41"/>
      <c r="UC73" s="41"/>
      <c r="UD73" s="41"/>
      <c r="UE73" s="41"/>
      <c r="UF73" s="41"/>
      <c r="UG73" s="41"/>
      <c r="UH73" s="41"/>
      <c r="UI73" s="41"/>
      <c r="UJ73" s="41"/>
      <c r="UK73" s="41"/>
      <c r="UL73" s="41"/>
      <c r="UM73" s="41"/>
      <c r="UN73" s="41"/>
      <c r="UO73" s="41"/>
      <c r="UP73" s="41"/>
      <c r="UQ73" s="41"/>
      <c r="UR73" s="41"/>
      <c r="US73" s="41"/>
      <c r="UT73" s="41"/>
      <c r="UU73" s="41"/>
      <c r="UV73" s="41"/>
      <c r="UW73" s="41"/>
      <c r="UX73" s="41"/>
      <c r="UY73" s="41"/>
      <c r="UZ73" s="41"/>
      <c r="VA73" s="41"/>
      <c r="VB73" s="41"/>
      <c r="VC73" s="41"/>
      <c r="VD73" s="41"/>
      <c r="VE73" s="41"/>
      <c r="VF73" s="41"/>
      <c r="VG73" s="41"/>
      <c r="VH73" s="41"/>
      <c r="VI73" s="41"/>
      <c r="VJ73" s="41"/>
      <c r="VK73" s="41"/>
      <c r="VL73" s="41"/>
      <c r="VM73" s="41"/>
      <c r="VN73" s="41"/>
      <c r="VO73" s="41"/>
      <c r="VP73" s="41"/>
      <c r="VQ73" s="41"/>
      <c r="VR73" s="41"/>
      <c r="VS73" s="41"/>
      <c r="VT73" s="41"/>
      <c r="VU73" s="41"/>
      <c r="VV73" s="41"/>
      <c r="VW73" s="41"/>
      <c r="VX73" s="41"/>
      <c r="VY73" s="41"/>
      <c r="VZ73" s="41"/>
      <c r="WA73" s="41"/>
      <c r="WB73" s="41"/>
      <c r="WC73" s="41"/>
      <c r="WD73" s="41"/>
      <c r="WE73" s="41"/>
      <c r="WF73" s="41"/>
      <c r="WG73" s="41"/>
      <c r="WH73" s="41"/>
      <c r="WI73" s="41"/>
      <c r="WJ73" s="41"/>
      <c r="WK73" s="41"/>
      <c r="WL73" s="41"/>
      <c r="WM73" s="41"/>
      <c r="WN73" s="41"/>
      <c r="WO73" s="41"/>
      <c r="WP73" s="41"/>
      <c r="WQ73" s="41"/>
      <c r="WR73" s="41"/>
      <c r="WS73" s="41"/>
      <c r="WT73" s="41"/>
      <c r="WU73" s="41"/>
      <c r="WV73" s="41"/>
      <c r="WW73" s="41"/>
      <c r="WX73" s="41"/>
      <c r="WY73" s="41"/>
      <c r="WZ73" s="41"/>
      <c r="XA73" s="41"/>
      <c r="XB73" s="41"/>
      <c r="XC73" s="41"/>
      <c r="XD73" s="41"/>
      <c r="XE73" s="41"/>
      <c r="XF73" s="41"/>
      <c r="XG73" s="41"/>
      <c r="XH73" s="41"/>
      <c r="XI73" s="41"/>
      <c r="XJ73" s="41"/>
      <c r="XK73" s="41"/>
      <c r="XL73" s="41"/>
      <c r="XM73" s="41"/>
      <c r="XN73" s="41"/>
      <c r="XO73" s="41"/>
      <c r="XP73" s="41"/>
      <c r="XQ73" s="41"/>
      <c r="XR73" s="41"/>
      <c r="XS73" s="41"/>
      <c r="XT73" s="41"/>
      <c r="XU73" s="41"/>
      <c r="XV73" s="41"/>
      <c r="XW73" s="41"/>
      <c r="XX73" s="41"/>
      <c r="XY73" s="41"/>
      <c r="XZ73" s="41"/>
      <c r="YA73" s="41"/>
      <c r="YB73" s="41"/>
      <c r="YC73" s="41"/>
      <c r="YD73" s="41"/>
      <c r="YE73" s="41"/>
      <c r="YF73" s="41"/>
      <c r="YG73" s="41"/>
      <c r="YH73" s="41"/>
      <c r="YI73" s="41"/>
      <c r="YJ73" s="41"/>
      <c r="YK73" s="41"/>
      <c r="YL73" s="41"/>
      <c r="YM73" s="41"/>
      <c r="YN73" s="41"/>
      <c r="YO73" s="41"/>
      <c r="YP73" s="41"/>
      <c r="YQ73" s="41"/>
      <c r="YR73" s="41"/>
      <c r="YS73" s="41"/>
      <c r="YT73" s="41"/>
      <c r="YU73" s="41"/>
      <c r="YV73" s="41"/>
      <c r="YW73" s="41"/>
      <c r="YX73" s="41"/>
      <c r="YY73" s="41"/>
      <c r="YZ73" s="41"/>
      <c r="ZA73" s="41"/>
      <c r="ZB73" s="41"/>
      <c r="ZC73" s="41"/>
      <c r="ZD73" s="41"/>
      <c r="ZE73" s="41"/>
      <c r="ZF73" s="41"/>
      <c r="ZG73" s="41"/>
      <c r="ZH73" s="41"/>
      <c r="ZI73" s="41"/>
      <c r="ZJ73" s="41"/>
      <c r="ZK73" s="41"/>
      <c r="ZL73" s="41"/>
      <c r="ZM73" s="41"/>
      <c r="ZN73" s="41"/>
      <c r="ZO73" s="41"/>
      <c r="ZP73" s="41"/>
      <c r="ZQ73" s="41"/>
      <c r="ZR73" s="41"/>
      <c r="ZS73" s="41"/>
      <c r="ZT73" s="41"/>
      <c r="ZU73" s="41"/>
      <c r="ZV73" s="41"/>
      <c r="ZW73" s="41"/>
      <c r="ZX73" s="41"/>
      <c r="ZY73" s="41"/>
      <c r="ZZ73" s="41"/>
      <c r="AAA73" s="41"/>
      <c r="AAB73" s="41"/>
      <c r="AAC73" s="41"/>
      <c r="AAD73" s="41"/>
      <c r="AAE73" s="41"/>
      <c r="AAF73" s="41"/>
      <c r="AAG73" s="41"/>
      <c r="AAH73" s="41"/>
      <c r="AAI73" s="41"/>
      <c r="AAJ73" s="41"/>
      <c r="AAK73" s="41"/>
      <c r="AAL73" s="41"/>
      <c r="AAM73" s="41"/>
      <c r="AAN73" s="41"/>
      <c r="AAO73" s="41"/>
      <c r="AAP73" s="41"/>
      <c r="AAQ73" s="41"/>
      <c r="AAR73" s="41"/>
      <c r="AAS73" s="41"/>
      <c r="AAT73" s="41"/>
      <c r="AAU73" s="41"/>
      <c r="AAV73" s="41"/>
      <c r="AAW73" s="41"/>
      <c r="AAX73" s="41"/>
      <c r="AAY73" s="41"/>
      <c r="AAZ73" s="41"/>
      <c r="ABA73" s="41"/>
      <c r="ABB73" s="41"/>
      <c r="ABC73" s="41"/>
      <c r="ABD73" s="41"/>
      <c r="ABE73" s="41"/>
      <c r="ABF73" s="41"/>
      <c r="ABG73" s="41"/>
      <c r="ABH73" s="41"/>
      <c r="ABI73" s="41"/>
      <c r="ABJ73" s="41"/>
      <c r="ABK73" s="41"/>
      <c r="ABL73" s="41"/>
      <c r="ABM73" s="41"/>
      <c r="ABN73" s="41"/>
      <c r="ABO73" s="41"/>
      <c r="ABP73" s="41"/>
      <c r="ABQ73" s="41"/>
      <c r="ABR73" s="41"/>
      <c r="ABS73" s="41"/>
      <c r="ABT73" s="41"/>
      <c r="ABU73" s="41"/>
      <c r="ABV73" s="41"/>
      <c r="ABW73" s="41"/>
      <c r="ABX73" s="41"/>
      <c r="ABY73" s="41"/>
      <c r="ABZ73" s="41"/>
      <c r="ACA73" s="41"/>
      <c r="ACB73" s="41"/>
      <c r="ACC73" s="41"/>
      <c r="ACD73" s="41"/>
      <c r="ACE73" s="41"/>
      <c r="ACF73" s="41"/>
      <c r="ACG73" s="41"/>
      <c r="ACH73" s="41"/>
      <c r="ACI73" s="41"/>
      <c r="ACJ73" s="41"/>
      <c r="ACK73" s="41"/>
      <c r="ACL73" s="41"/>
      <c r="ACM73" s="41"/>
      <c r="ACN73" s="41"/>
      <c r="ACO73" s="41"/>
      <c r="ACP73" s="41"/>
      <c r="ACQ73" s="41"/>
      <c r="ACR73" s="41"/>
      <c r="ACS73" s="41"/>
      <c r="ACT73" s="41"/>
      <c r="ACU73" s="41"/>
      <c r="ACV73" s="41"/>
      <c r="ACW73" s="41"/>
      <c r="ACX73" s="41"/>
      <c r="ACY73" s="41"/>
      <c r="ACZ73" s="41"/>
      <c r="ADA73" s="41"/>
      <c r="ADB73" s="41"/>
      <c r="ADC73" s="41"/>
      <c r="ADD73" s="41"/>
      <c r="ADE73" s="41"/>
      <c r="ADF73" s="41"/>
      <c r="ADG73" s="41"/>
      <c r="ADH73" s="41"/>
      <c r="ADI73" s="41"/>
      <c r="ADJ73" s="41"/>
      <c r="ADK73" s="41"/>
      <c r="ADL73" s="41"/>
      <c r="ADM73" s="41"/>
      <c r="ADN73" s="41"/>
      <c r="ADO73" s="41"/>
      <c r="ADP73" s="41"/>
      <c r="ADQ73" s="41"/>
      <c r="ADR73" s="41"/>
      <c r="ADS73" s="41"/>
      <c r="ADT73" s="41"/>
      <c r="ADU73" s="41"/>
      <c r="ADV73" s="41"/>
      <c r="ADW73" s="41"/>
      <c r="ADX73" s="41"/>
      <c r="ADY73" s="41"/>
      <c r="ADZ73" s="41"/>
      <c r="AEA73" s="41"/>
      <c r="AEB73" s="41"/>
      <c r="AEC73" s="41"/>
      <c r="AED73" s="41"/>
      <c r="AEE73" s="41"/>
      <c r="AEF73" s="41"/>
      <c r="AEG73" s="41"/>
      <c r="AEH73" s="41"/>
      <c r="AEI73" s="41"/>
      <c r="AEJ73" s="41"/>
      <c r="AEK73" s="41"/>
      <c r="AEL73" s="41"/>
      <c r="AEM73" s="41"/>
      <c r="AEN73" s="41"/>
      <c r="AEO73" s="41"/>
      <c r="AEP73" s="41"/>
      <c r="AEQ73" s="41"/>
      <c r="AER73" s="41"/>
      <c r="AES73" s="41"/>
      <c r="AET73" s="41"/>
      <c r="AEU73" s="41"/>
      <c r="AEV73" s="41"/>
      <c r="AEW73" s="41"/>
      <c r="AEX73" s="41"/>
      <c r="AEY73" s="41"/>
      <c r="AEZ73" s="41"/>
      <c r="AFA73" s="41"/>
      <c r="AFB73" s="41"/>
      <c r="AFC73" s="41"/>
      <c r="AFD73" s="41"/>
      <c r="AFE73" s="41"/>
      <c r="AFF73" s="41"/>
      <c r="AFG73" s="41"/>
      <c r="AFH73" s="41"/>
      <c r="AFI73" s="41"/>
      <c r="AFJ73" s="41"/>
      <c r="AFK73" s="41"/>
      <c r="AFL73" s="41"/>
      <c r="AFM73" s="41"/>
      <c r="AFN73" s="41"/>
      <c r="AFO73" s="41"/>
      <c r="AFP73" s="41"/>
      <c r="AFQ73" s="41"/>
      <c r="AFR73" s="41"/>
      <c r="AFS73" s="41"/>
      <c r="AFT73" s="41"/>
      <c r="AFU73" s="41"/>
      <c r="AFV73" s="41"/>
      <c r="AFW73" s="41"/>
      <c r="AFX73" s="41"/>
      <c r="AFY73" s="41"/>
      <c r="AFZ73" s="41"/>
      <c r="AGA73" s="41"/>
      <c r="AGB73" s="41"/>
      <c r="AGC73" s="41"/>
      <c r="AGD73" s="41"/>
      <c r="AGE73" s="41"/>
      <c r="AGF73" s="41"/>
      <c r="AGG73" s="41"/>
      <c r="AGH73" s="41"/>
      <c r="AGI73" s="41"/>
      <c r="AGJ73" s="41"/>
      <c r="AGK73" s="41"/>
      <c r="AGL73" s="41"/>
      <c r="AGM73" s="41"/>
      <c r="AGN73" s="41"/>
      <c r="AGO73" s="41"/>
      <c r="AGP73" s="41"/>
      <c r="AGQ73" s="41"/>
      <c r="AGR73" s="41"/>
      <c r="AGS73" s="41"/>
      <c r="AGT73" s="41"/>
      <c r="AGU73" s="41"/>
      <c r="AGV73" s="41"/>
      <c r="AGW73" s="41"/>
      <c r="AGX73" s="41"/>
      <c r="AGY73" s="41"/>
      <c r="AGZ73" s="41"/>
      <c r="AHA73" s="41"/>
      <c r="AHB73" s="41"/>
      <c r="AHC73" s="41"/>
      <c r="AHD73" s="41"/>
      <c r="AHE73" s="41"/>
      <c r="AHF73" s="41"/>
      <c r="AHG73" s="41"/>
      <c r="AHH73" s="41"/>
      <c r="AHI73" s="41"/>
      <c r="AHJ73" s="41"/>
      <c r="AHK73" s="41"/>
      <c r="AHL73" s="41"/>
      <c r="AHM73" s="41"/>
      <c r="AHN73" s="41"/>
    </row>
    <row r="74" spans="1:898" s="28" customFormat="1" hidden="1" x14ac:dyDescent="0.25">
      <c r="A74" s="20">
        <v>91</v>
      </c>
      <c r="B74" s="20" t="s">
        <v>27</v>
      </c>
      <c r="C74" s="20" t="s">
        <v>512</v>
      </c>
      <c r="D74" s="20" t="s">
        <v>543</v>
      </c>
      <c r="E74" s="20"/>
      <c r="F74" s="20" t="s">
        <v>28</v>
      </c>
      <c r="G74" s="20">
        <v>71766966</v>
      </c>
      <c r="H74" s="20" t="s">
        <v>532</v>
      </c>
      <c r="I74" s="20" t="s">
        <v>471</v>
      </c>
      <c r="J74" s="20" t="s">
        <v>533</v>
      </c>
      <c r="K74" s="22" t="s">
        <v>534</v>
      </c>
      <c r="L74" s="20" t="s">
        <v>29</v>
      </c>
      <c r="M74" s="21">
        <v>34231</v>
      </c>
      <c r="N74" s="20">
        <v>916144177</v>
      </c>
      <c r="O74" s="24" t="s">
        <v>232</v>
      </c>
      <c r="P74" s="20" t="s">
        <v>30</v>
      </c>
      <c r="Q74" s="20" t="s">
        <v>27</v>
      </c>
      <c r="R74" s="31" t="s">
        <v>32</v>
      </c>
      <c r="S74" s="20">
        <v>20601242657</v>
      </c>
      <c r="T74" s="20" t="s">
        <v>33</v>
      </c>
      <c r="U74" s="20" t="s">
        <v>123</v>
      </c>
      <c r="V74" s="20" t="s">
        <v>147</v>
      </c>
      <c r="W74" s="20" t="s">
        <v>31</v>
      </c>
      <c r="X74" s="26" t="s">
        <v>535</v>
      </c>
      <c r="Y74" s="20" t="s">
        <v>31</v>
      </c>
      <c r="Z74" s="20" t="s">
        <v>31</v>
      </c>
      <c r="AA74" s="20" t="s">
        <v>31</v>
      </c>
      <c r="AB74" s="26">
        <v>29</v>
      </c>
      <c r="AC74" s="27" t="s">
        <v>111</v>
      </c>
      <c r="AD74" s="27" t="s">
        <v>27</v>
      </c>
      <c r="AE74" s="27"/>
      <c r="AF74" s="45">
        <v>44650</v>
      </c>
      <c r="AG74" s="45"/>
      <c r="AH74" s="45"/>
      <c r="AI74" s="45"/>
      <c r="AJ74" s="46">
        <v>44824</v>
      </c>
      <c r="AK74" s="27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</row>
    <row r="75" spans="1:898" s="41" customFormat="1" hidden="1" x14ac:dyDescent="0.25">
      <c r="A75" s="20">
        <v>117</v>
      </c>
      <c r="B75" s="20" t="s">
        <v>27</v>
      </c>
      <c r="C75" s="20" t="s">
        <v>512</v>
      </c>
      <c r="D75" s="20" t="s">
        <v>660</v>
      </c>
      <c r="E75" s="20"/>
      <c r="F75" s="20" t="s">
        <v>28</v>
      </c>
      <c r="G75" s="20">
        <v>45479118</v>
      </c>
      <c r="H75" s="20" t="s">
        <v>606</v>
      </c>
      <c r="I75" s="20" t="s">
        <v>648</v>
      </c>
      <c r="J75" s="20" t="s">
        <v>649</v>
      </c>
      <c r="K75" s="26" t="s">
        <v>651</v>
      </c>
      <c r="L75" s="20" t="s">
        <v>29</v>
      </c>
      <c r="M75" s="21">
        <v>31543</v>
      </c>
      <c r="N75" s="20">
        <v>986793184</v>
      </c>
      <c r="O75" s="24" t="s">
        <v>232</v>
      </c>
      <c r="P75" s="20" t="s">
        <v>30</v>
      </c>
      <c r="Q75" s="20" t="s">
        <v>27</v>
      </c>
      <c r="R75" s="31" t="s">
        <v>32</v>
      </c>
      <c r="S75" s="20">
        <v>20601242657</v>
      </c>
      <c r="T75" s="20" t="s">
        <v>33</v>
      </c>
      <c r="U75" s="20" t="s">
        <v>123</v>
      </c>
      <c r="V75" s="20" t="s">
        <v>147</v>
      </c>
      <c r="W75" s="20" t="s">
        <v>31</v>
      </c>
      <c r="X75" s="26" t="s">
        <v>657</v>
      </c>
      <c r="Y75" s="20" t="s">
        <v>31</v>
      </c>
      <c r="Z75" s="20" t="s">
        <v>31</v>
      </c>
      <c r="AA75" s="20" t="s">
        <v>31</v>
      </c>
      <c r="AB75" s="26">
        <v>36</v>
      </c>
      <c r="AC75" s="27" t="s">
        <v>111</v>
      </c>
      <c r="AD75" s="27" t="s">
        <v>27</v>
      </c>
      <c r="AE75" s="27"/>
      <c r="AF75" s="45">
        <v>44846</v>
      </c>
      <c r="AG75" s="45"/>
      <c r="AH75" s="45"/>
      <c r="AI75" s="45"/>
      <c r="AJ75" s="45">
        <v>44887</v>
      </c>
      <c r="AK75" s="27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</row>
    <row r="76" spans="1:898" s="41" customFormat="1" hidden="1" x14ac:dyDescent="0.25">
      <c r="A76" s="20">
        <v>112</v>
      </c>
      <c r="B76" s="20" t="s">
        <v>27</v>
      </c>
      <c r="C76" s="20" t="s">
        <v>512</v>
      </c>
      <c r="D76" s="20" t="s">
        <v>628</v>
      </c>
      <c r="E76" s="20"/>
      <c r="F76" s="20" t="s">
        <v>28</v>
      </c>
      <c r="G76" s="20">
        <v>48397527</v>
      </c>
      <c r="H76" s="20" t="s">
        <v>629</v>
      </c>
      <c r="I76" s="20" t="s">
        <v>630</v>
      </c>
      <c r="J76" s="20" t="s">
        <v>631</v>
      </c>
      <c r="K76" s="26" t="s">
        <v>632</v>
      </c>
      <c r="L76" s="20" t="s">
        <v>29</v>
      </c>
      <c r="M76" s="21">
        <v>34630</v>
      </c>
      <c r="N76" s="20">
        <v>938296396</v>
      </c>
      <c r="O76" s="24" t="s">
        <v>232</v>
      </c>
      <c r="P76" s="20" t="s">
        <v>30</v>
      </c>
      <c r="Q76" s="20" t="s">
        <v>27</v>
      </c>
      <c r="R76" s="31" t="s">
        <v>32</v>
      </c>
      <c r="S76" s="20">
        <v>20601242657</v>
      </c>
      <c r="T76" s="20" t="s">
        <v>33</v>
      </c>
      <c r="U76" s="20" t="s">
        <v>123</v>
      </c>
      <c r="V76" s="20" t="s">
        <v>147</v>
      </c>
      <c r="W76" s="20" t="s">
        <v>31</v>
      </c>
      <c r="X76" s="26" t="s">
        <v>633</v>
      </c>
      <c r="Y76" s="20" t="s">
        <v>31</v>
      </c>
      <c r="Z76" s="20" t="s">
        <v>31</v>
      </c>
      <c r="AA76" s="20" t="s">
        <v>31</v>
      </c>
      <c r="AB76" s="26">
        <v>28</v>
      </c>
      <c r="AC76" s="27" t="s">
        <v>111</v>
      </c>
      <c r="AD76" s="27" t="s">
        <v>27</v>
      </c>
      <c r="AE76" s="27"/>
      <c r="AF76" s="45">
        <v>44832</v>
      </c>
      <c r="AG76" s="45"/>
      <c r="AH76" s="45"/>
      <c r="AI76" s="45"/>
      <c r="AJ76" s="27"/>
      <c r="AK76" s="27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</row>
    <row r="77" spans="1:898" s="1" customFormat="1" hidden="1" x14ac:dyDescent="0.25">
      <c r="A77" s="20">
        <v>73</v>
      </c>
      <c r="B77" s="20" t="s">
        <v>27</v>
      </c>
      <c r="C77" s="20" t="s">
        <v>512</v>
      </c>
      <c r="D77" s="20" t="s">
        <v>437</v>
      </c>
      <c r="E77" s="20"/>
      <c r="F77" s="20" t="s">
        <v>28</v>
      </c>
      <c r="G77" s="20">
        <v>72319034</v>
      </c>
      <c r="H77" s="20" t="s">
        <v>427</v>
      </c>
      <c r="I77" s="20" t="s">
        <v>428</v>
      </c>
      <c r="J77" s="20" t="s">
        <v>429</v>
      </c>
      <c r="K77" s="22" t="s">
        <v>430</v>
      </c>
      <c r="L77" s="20" t="s">
        <v>29</v>
      </c>
      <c r="M77" s="21">
        <v>36562</v>
      </c>
      <c r="N77" s="20">
        <v>963346089</v>
      </c>
      <c r="O77" s="24" t="s">
        <v>232</v>
      </c>
      <c r="P77" s="20" t="s">
        <v>30</v>
      </c>
      <c r="Q77" s="20" t="s">
        <v>27</v>
      </c>
      <c r="R77" s="31" t="s">
        <v>32</v>
      </c>
      <c r="S77" s="20">
        <v>20601242657</v>
      </c>
      <c r="T77" s="20" t="s">
        <v>33</v>
      </c>
      <c r="U77" s="20" t="s">
        <v>123</v>
      </c>
      <c r="V77" s="20" t="s">
        <v>147</v>
      </c>
      <c r="W77" s="20" t="s">
        <v>45</v>
      </c>
      <c r="X77" s="26" t="s">
        <v>431</v>
      </c>
      <c r="Y77" s="26" t="s">
        <v>111</v>
      </c>
      <c r="Z77" s="26" t="s">
        <v>432</v>
      </c>
      <c r="AA77" s="26" t="s">
        <v>45</v>
      </c>
      <c r="AB77" s="26">
        <v>21</v>
      </c>
      <c r="AC77" s="27" t="s">
        <v>34</v>
      </c>
      <c r="AD77" s="27" t="s">
        <v>27</v>
      </c>
      <c r="AE77" s="27"/>
      <c r="AF77" s="45">
        <v>44475</v>
      </c>
      <c r="AG77" s="45"/>
      <c r="AH77" s="45"/>
      <c r="AI77" s="45"/>
      <c r="AJ77" s="45">
        <v>44923</v>
      </c>
      <c r="AK77" s="27"/>
    </row>
    <row r="78" spans="1:898" s="1" customFormat="1" ht="18" hidden="1" customHeight="1" x14ac:dyDescent="0.25">
      <c r="A78" s="20">
        <v>11</v>
      </c>
      <c r="B78" s="20" t="s">
        <v>27</v>
      </c>
      <c r="C78" s="20" t="s">
        <v>512</v>
      </c>
      <c r="D78" s="20" t="s">
        <v>253</v>
      </c>
      <c r="E78" s="20"/>
      <c r="F78" s="20" t="s">
        <v>28</v>
      </c>
      <c r="G78" s="20">
        <v>70042708</v>
      </c>
      <c r="H78" s="20" t="s">
        <v>189</v>
      </c>
      <c r="I78" s="20" t="s">
        <v>190</v>
      </c>
      <c r="J78" s="20" t="s">
        <v>188</v>
      </c>
      <c r="K78" s="22" t="str">
        <f t="shared" ref="K78" si="5">CONCATENATE(H78," ",I78," ",J78)</f>
        <v>VILCA AQUINO EVERY EULICES</v>
      </c>
      <c r="L78" s="20" t="s">
        <v>29</v>
      </c>
      <c r="M78" s="21">
        <v>34900</v>
      </c>
      <c r="N78" s="20">
        <v>961304704</v>
      </c>
      <c r="O78" s="24" t="s">
        <v>232</v>
      </c>
      <c r="P78" s="20" t="s">
        <v>30</v>
      </c>
      <c r="Q78" s="20" t="s">
        <v>27</v>
      </c>
      <c r="R78" s="25" t="s">
        <v>32</v>
      </c>
      <c r="S78" s="20">
        <v>20601242662</v>
      </c>
      <c r="T78" s="20" t="s">
        <v>33</v>
      </c>
      <c r="U78" s="20" t="s">
        <v>123</v>
      </c>
      <c r="V78" s="20" t="s">
        <v>285</v>
      </c>
      <c r="W78" s="20" t="s">
        <v>31</v>
      </c>
      <c r="X78" s="26" t="s">
        <v>329</v>
      </c>
      <c r="Y78" s="26" t="s">
        <v>31</v>
      </c>
      <c r="Z78" s="26" t="s">
        <v>31</v>
      </c>
      <c r="AA78" s="26" t="s">
        <v>31</v>
      </c>
      <c r="AB78" s="26">
        <v>26</v>
      </c>
      <c r="AC78" s="27" t="s">
        <v>111</v>
      </c>
      <c r="AD78" s="27" t="s">
        <v>27</v>
      </c>
      <c r="AE78" s="27"/>
      <c r="AF78" s="45">
        <v>44308</v>
      </c>
      <c r="AG78" s="45"/>
      <c r="AH78" s="45"/>
      <c r="AI78" s="45"/>
      <c r="AJ78" s="45">
        <v>44916</v>
      </c>
      <c r="AK78" s="27"/>
    </row>
    <row r="79" spans="1:898" s="41" customFormat="1" hidden="1" x14ac:dyDescent="0.25">
      <c r="A79" s="20">
        <v>84</v>
      </c>
      <c r="B79" s="20" t="s">
        <v>27</v>
      </c>
      <c r="C79" s="20" t="s">
        <v>512</v>
      </c>
      <c r="D79" s="20" t="s">
        <v>120</v>
      </c>
      <c r="E79" s="20"/>
      <c r="F79" s="20" t="s">
        <v>28</v>
      </c>
      <c r="G79" s="20">
        <v>70932974</v>
      </c>
      <c r="H79" s="20" t="s">
        <v>497</v>
      </c>
      <c r="I79" s="20" t="s">
        <v>55</v>
      </c>
      <c r="J79" s="20" t="s">
        <v>498</v>
      </c>
      <c r="K79" s="22" t="s">
        <v>499</v>
      </c>
      <c r="L79" s="20" t="s">
        <v>29</v>
      </c>
      <c r="M79" s="21">
        <v>34992</v>
      </c>
      <c r="N79" s="20">
        <v>934588501</v>
      </c>
      <c r="O79" s="24" t="s">
        <v>232</v>
      </c>
      <c r="P79" s="20" t="s">
        <v>30</v>
      </c>
      <c r="Q79" s="20" t="s">
        <v>27</v>
      </c>
      <c r="R79" s="31" t="s">
        <v>32</v>
      </c>
      <c r="S79" s="20">
        <v>20601242657</v>
      </c>
      <c r="T79" s="20" t="s">
        <v>33</v>
      </c>
      <c r="U79" s="20" t="s">
        <v>123</v>
      </c>
      <c r="V79" s="20" t="s">
        <v>109</v>
      </c>
      <c r="W79" s="20" t="s">
        <v>45</v>
      </c>
      <c r="X79" s="26" t="s">
        <v>500</v>
      </c>
      <c r="Y79" s="26" t="s">
        <v>34</v>
      </c>
      <c r="Z79" s="26" t="s">
        <v>34</v>
      </c>
      <c r="AA79" s="26" t="s">
        <v>45</v>
      </c>
      <c r="AB79" s="26">
        <v>25</v>
      </c>
      <c r="AC79" s="27" t="s">
        <v>34</v>
      </c>
      <c r="AD79" s="27" t="s">
        <v>27</v>
      </c>
      <c r="AE79" s="27"/>
      <c r="AF79" s="45">
        <v>44587</v>
      </c>
      <c r="AG79" s="45"/>
      <c r="AH79" s="45"/>
      <c r="AI79" s="45"/>
      <c r="AJ79" s="45">
        <v>44845</v>
      </c>
      <c r="AK79" s="27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</row>
    <row r="80" spans="1:898" s="41" customFormat="1" hidden="1" x14ac:dyDescent="0.25">
      <c r="A80" s="20">
        <v>114</v>
      </c>
      <c r="B80" s="20" t="s">
        <v>27</v>
      </c>
      <c r="C80" s="20" t="s">
        <v>512</v>
      </c>
      <c r="D80" s="20" t="s">
        <v>661</v>
      </c>
      <c r="E80" s="20"/>
      <c r="F80" s="20" t="s">
        <v>28</v>
      </c>
      <c r="G80" s="20">
        <v>77342506</v>
      </c>
      <c r="H80" s="20" t="s">
        <v>639</v>
      </c>
      <c r="I80" s="20" t="s">
        <v>640</v>
      </c>
      <c r="J80" s="20" t="s">
        <v>642</v>
      </c>
      <c r="K80" s="26" t="s">
        <v>641</v>
      </c>
      <c r="L80" s="20" t="s">
        <v>29</v>
      </c>
      <c r="M80" s="21">
        <v>34877</v>
      </c>
      <c r="N80" s="20">
        <v>992033235</v>
      </c>
      <c r="O80" s="24" t="s">
        <v>232</v>
      </c>
      <c r="P80" s="20" t="s">
        <v>30</v>
      </c>
      <c r="Q80" s="20" t="s">
        <v>27</v>
      </c>
      <c r="R80" s="31" t="s">
        <v>32</v>
      </c>
      <c r="S80" s="20">
        <v>20601242657</v>
      </c>
      <c r="T80" s="20" t="s">
        <v>33</v>
      </c>
      <c r="U80" s="26" t="s">
        <v>123</v>
      </c>
      <c r="V80" s="20" t="s">
        <v>147</v>
      </c>
      <c r="W80" s="20" t="s">
        <v>31</v>
      </c>
      <c r="X80" s="20" t="s">
        <v>652</v>
      </c>
      <c r="Y80" s="20" t="s">
        <v>653</v>
      </c>
      <c r="Z80" s="20" t="s">
        <v>654</v>
      </c>
      <c r="AA80" s="20" t="s">
        <v>31</v>
      </c>
      <c r="AB80" s="26">
        <v>27</v>
      </c>
      <c r="AC80" s="27" t="s">
        <v>111</v>
      </c>
      <c r="AD80" s="27" t="s">
        <v>27</v>
      </c>
      <c r="AE80" s="27"/>
      <c r="AF80" s="45">
        <v>44846</v>
      </c>
      <c r="AG80" s="45"/>
      <c r="AH80" s="45"/>
      <c r="AI80" s="45"/>
      <c r="AJ80" s="45">
        <v>44926</v>
      </c>
      <c r="AK80" s="27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</row>
    <row r="81" spans="1:346" s="41" customFormat="1" hidden="1" x14ac:dyDescent="0.25">
      <c r="A81" s="20">
        <v>105</v>
      </c>
      <c r="B81" s="20" t="s">
        <v>27</v>
      </c>
      <c r="C81" s="20" t="s">
        <v>512</v>
      </c>
      <c r="D81" s="20" t="s">
        <v>616</v>
      </c>
      <c r="E81" s="20"/>
      <c r="F81" s="20" t="s">
        <v>28</v>
      </c>
      <c r="G81" s="20">
        <v>74229717</v>
      </c>
      <c r="H81" s="20" t="s">
        <v>582</v>
      </c>
      <c r="I81" s="20" t="s">
        <v>583</v>
      </c>
      <c r="J81" s="20" t="s">
        <v>584</v>
      </c>
      <c r="K81" s="20" t="s">
        <v>585</v>
      </c>
      <c r="L81" s="20" t="s">
        <v>29</v>
      </c>
      <c r="M81" s="21">
        <v>35032</v>
      </c>
      <c r="N81" s="20">
        <v>928681430</v>
      </c>
      <c r="O81" s="24" t="s">
        <v>232</v>
      </c>
      <c r="P81" s="20" t="s">
        <v>30</v>
      </c>
      <c r="Q81" s="20" t="s">
        <v>27</v>
      </c>
      <c r="R81" s="31" t="s">
        <v>32</v>
      </c>
      <c r="S81" s="20">
        <v>20601242657</v>
      </c>
      <c r="T81" s="20" t="s">
        <v>33</v>
      </c>
      <c r="U81" s="20" t="s">
        <v>123</v>
      </c>
      <c r="V81" s="20" t="s">
        <v>147</v>
      </c>
      <c r="W81" s="20" t="s">
        <v>31</v>
      </c>
      <c r="X81" s="26" t="s">
        <v>596</v>
      </c>
      <c r="Y81" s="20" t="s">
        <v>31</v>
      </c>
      <c r="Z81" s="20" t="s">
        <v>31</v>
      </c>
      <c r="AA81" s="20" t="s">
        <v>31</v>
      </c>
      <c r="AB81" s="26">
        <v>27</v>
      </c>
      <c r="AC81" s="27" t="s">
        <v>111</v>
      </c>
      <c r="AD81" s="27" t="s">
        <v>27</v>
      </c>
      <c r="AE81" s="27"/>
      <c r="AF81" s="45">
        <v>44804</v>
      </c>
      <c r="AG81" s="45"/>
      <c r="AH81" s="45"/>
      <c r="AI81" s="45"/>
      <c r="AJ81" s="45">
        <v>44926</v>
      </c>
      <c r="AK81" s="27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</row>
    <row r="82" spans="1:346" s="41" customFormat="1" hidden="1" x14ac:dyDescent="0.25">
      <c r="A82" s="20">
        <v>100</v>
      </c>
      <c r="B82" s="20" t="s">
        <v>27</v>
      </c>
      <c r="C82" s="20" t="s">
        <v>512</v>
      </c>
      <c r="D82" s="20" t="s">
        <v>574</v>
      </c>
      <c r="E82" s="20"/>
      <c r="F82" s="20" t="s">
        <v>28</v>
      </c>
      <c r="G82" s="20">
        <v>71766991</v>
      </c>
      <c r="H82" s="20" t="s">
        <v>552</v>
      </c>
      <c r="I82" s="20" t="s">
        <v>571</v>
      </c>
      <c r="J82" s="20" t="s">
        <v>572</v>
      </c>
      <c r="K82" s="26" t="s">
        <v>573</v>
      </c>
      <c r="L82" s="20" t="s">
        <v>29</v>
      </c>
      <c r="M82" s="21">
        <v>36586</v>
      </c>
      <c r="N82" s="20">
        <v>915187219</v>
      </c>
      <c r="O82" s="24" t="s">
        <v>232</v>
      </c>
      <c r="P82" s="20" t="s">
        <v>30</v>
      </c>
      <c r="Q82" s="20" t="s">
        <v>27</v>
      </c>
      <c r="R82" s="31" t="s">
        <v>32</v>
      </c>
      <c r="S82" s="20">
        <v>20601242657</v>
      </c>
      <c r="T82" s="20" t="s">
        <v>33</v>
      </c>
      <c r="U82" s="20" t="s">
        <v>123</v>
      </c>
      <c r="V82" s="20" t="s">
        <v>147</v>
      </c>
      <c r="W82" s="20" t="s">
        <v>31</v>
      </c>
      <c r="X82" s="26" t="s">
        <v>145</v>
      </c>
      <c r="Y82" s="20" t="s">
        <v>31</v>
      </c>
      <c r="Z82" s="20" t="s">
        <v>31</v>
      </c>
      <c r="AA82" s="20" t="s">
        <v>31</v>
      </c>
      <c r="AB82" s="26">
        <v>22</v>
      </c>
      <c r="AC82" s="27" t="s">
        <v>111</v>
      </c>
      <c r="AD82" s="27" t="s">
        <v>27</v>
      </c>
      <c r="AE82" s="27"/>
      <c r="AF82" s="45">
        <v>44783</v>
      </c>
      <c r="AG82" s="45"/>
      <c r="AH82" s="45"/>
      <c r="AI82" s="45"/>
      <c r="AJ82" s="45">
        <v>44926</v>
      </c>
      <c r="AK82" s="27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</row>
    <row r="83" spans="1:346" s="41" customFormat="1" hidden="1" x14ac:dyDescent="0.25">
      <c r="A83" s="20">
        <v>94</v>
      </c>
      <c r="B83" s="20" t="s">
        <v>27</v>
      </c>
      <c r="C83" s="20" t="s">
        <v>512</v>
      </c>
      <c r="D83" s="20" t="s">
        <v>550</v>
      </c>
      <c r="E83" s="20"/>
      <c r="F83" s="20" t="s">
        <v>28</v>
      </c>
      <c r="G83" s="20">
        <v>42807763</v>
      </c>
      <c r="H83" s="20" t="s">
        <v>67</v>
      </c>
      <c r="I83" s="20" t="s">
        <v>372</v>
      </c>
      <c r="J83" s="20" t="s">
        <v>554</v>
      </c>
      <c r="K83" s="48" t="s">
        <v>549</v>
      </c>
      <c r="L83" s="20" t="s">
        <v>29</v>
      </c>
      <c r="M83" s="21">
        <v>30022</v>
      </c>
      <c r="N83" s="20">
        <v>954497788</v>
      </c>
      <c r="O83" s="24" t="s">
        <v>232</v>
      </c>
      <c r="P83" s="20" t="s">
        <v>30</v>
      </c>
      <c r="Q83" s="20" t="s">
        <v>27</v>
      </c>
      <c r="R83" s="31" t="s">
        <v>32</v>
      </c>
      <c r="S83" s="20">
        <v>20601242657</v>
      </c>
      <c r="T83" s="20" t="s">
        <v>33</v>
      </c>
      <c r="U83" s="20" t="s">
        <v>123</v>
      </c>
      <c r="V83" s="20" t="s">
        <v>407</v>
      </c>
      <c r="W83" s="20" t="s">
        <v>31</v>
      </c>
      <c r="X83" s="26" t="s">
        <v>556</v>
      </c>
      <c r="Y83" s="20" t="s">
        <v>31</v>
      </c>
      <c r="Z83" s="20" t="s">
        <v>31</v>
      </c>
      <c r="AA83" s="20" t="s">
        <v>31</v>
      </c>
      <c r="AB83" s="26">
        <v>40</v>
      </c>
      <c r="AC83" s="27" t="s">
        <v>111</v>
      </c>
      <c r="AD83" s="27" t="s">
        <v>27</v>
      </c>
      <c r="AE83" s="27"/>
      <c r="AF83" s="45">
        <v>44707</v>
      </c>
      <c r="AG83" s="45"/>
      <c r="AH83" s="45"/>
      <c r="AI83" s="45"/>
      <c r="AJ83" s="45">
        <v>44927</v>
      </c>
      <c r="AK83" s="27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</row>
    <row r="84" spans="1:346" s="41" customFormat="1" hidden="1" x14ac:dyDescent="0.25">
      <c r="A84" s="20">
        <v>113</v>
      </c>
      <c r="B84" s="20" t="s">
        <v>27</v>
      </c>
      <c r="C84" s="20" t="s">
        <v>512</v>
      </c>
      <c r="D84" s="20" t="s">
        <v>658</v>
      </c>
      <c r="E84" s="20"/>
      <c r="F84" s="20" t="s">
        <v>28</v>
      </c>
      <c r="G84" s="20">
        <v>72655374</v>
      </c>
      <c r="H84" s="20" t="s">
        <v>72</v>
      </c>
      <c r="I84" s="20" t="s">
        <v>634</v>
      </c>
      <c r="J84" s="20" t="s">
        <v>635</v>
      </c>
      <c r="K84" s="26" t="s">
        <v>636</v>
      </c>
      <c r="L84" s="20" t="s">
        <v>29</v>
      </c>
      <c r="M84" s="21">
        <v>36416</v>
      </c>
      <c r="N84" s="20">
        <v>978785022</v>
      </c>
      <c r="O84" s="24" t="s">
        <v>232</v>
      </c>
      <c r="P84" s="20" t="s">
        <v>30</v>
      </c>
      <c r="Q84" s="20" t="s">
        <v>27</v>
      </c>
      <c r="R84" s="31" t="s">
        <v>32</v>
      </c>
      <c r="S84" s="20">
        <v>20601242657</v>
      </c>
      <c r="T84" s="20" t="s">
        <v>33</v>
      </c>
      <c r="U84" s="20" t="s">
        <v>123</v>
      </c>
      <c r="V84" s="20" t="s">
        <v>147</v>
      </c>
      <c r="W84" s="20" t="s">
        <v>31</v>
      </c>
      <c r="X84" s="26" t="s">
        <v>637</v>
      </c>
      <c r="Y84" s="20" t="s">
        <v>31</v>
      </c>
      <c r="Z84" s="20" t="s">
        <v>31</v>
      </c>
      <c r="AA84" s="20" t="s">
        <v>31</v>
      </c>
      <c r="AB84" s="26">
        <v>23</v>
      </c>
      <c r="AC84" s="14" t="s">
        <v>111</v>
      </c>
      <c r="AD84" s="14" t="s">
        <v>27</v>
      </c>
      <c r="AE84" s="14"/>
      <c r="AF84" s="42">
        <v>44839</v>
      </c>
      <c r="AG84" s="42"/>
      <c r="AH84" s="42"/>
      <c r="AI84" s="42"/>
      <c r="AJ84" s="42">
        <v>44946</v>
      </c>
      <c r="AK84" s="14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</row>
    <row r="85" spans="1:346" s="41" customFormat="1" hidden="1" x14ac:dyDescent="0.25">
      <c r="A85" s="20">
        <v>97</v>
      </c>
      <c r="B85" s="20" t="s">
        <v>27</v>
      </c>
      <c r="C85" s="20" t="s">
        <v>512</v>
      </c>
      <c r="D85" s="20" t="s">
        <v>566</v>
      </c>
      <c r="E85" s="20"/>
      <c r="F85" s="20" t="s">
        <v>28</v>
      </c>
      <c r="G85" s="20">
        <v>76831997</v>
      </c>
      <c r="H85" s="20" t="s">
        <v>560</v>
      </c>
      <c r="I85" s="20" t="s">
        <v>561</v>
      </c>
      <c r="J85" s="20" t="s">
        <v>562</v>
      </c>
      <c r="K85" s="26" t="s">
        <v>563</v>
      </c>
      <c r="L85" s="20" t="s">
        <v>29</v>
      </c>
      <c r="M85" s="52">
        <v>35378</v>
      </c>
      <c r="N85" s="20">
        <v>974340252</v>
      </c>
      <c r="O85" s="24" t="s">
        <v>232</v>
      </c>
      <c r="P85" s="20" t="s">
        <v>30</v>
      </c>
      <c r="Q85" s="20" t="s">
        <v>27</v>
      </c>
      <c r="R85" s="31" t="s">
        <v>32</v>
      </c>
      <c r="S85" s="20">
        <v>20601242657</v>
      </c>
      <c r="T85" s="20" t="s">
        <v>33</v>
      </c>
      <c r="U85" s="20" t="s">
        <v>123</v>
      </c>
      <c r="V85" s="20" t="s">
        <v>147</v>
      </c>
      <c r="W85" s="20" t="s">
        <v>31</v>
      </c>
      <c r="X85" s="20" t="s">
        <v>564</v>
      </c>
      <c r="Y85" s="20" t="s">
        <v>31</v>
      </c>
      <c r="Z85" s="20" t="s">
        <v>31</v>
      </c>
      <c r="AA85" s="20" t="s">
        <v>31</v>
      </c>
      <c r="AB85" s="26">
        <v>26</v>
      </c>
      <c r="AC85" s="14" t="s">
        <v>111</v>
      </c>
      <c r="AD85" s="14" t="s">
        <v>27</v>
      </c>
      <c r="AE85" s="14"/>
      <c r="AF85" s="42">
        <v>44741</v>
      </c>
      <c r="AG85" s="42"/>
      <c r="AH85" s="42"/>
      <c r="AI85" s="42"/>
      <c r="AJ85" s="42">
        <v>44992</v>
      </c>
      <c r="AK85" s="14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</row>
    <row r="86" spans="1:346" s="41" customFormat="1" hidden="1" x14ac:dyDescent="0.25">
      <c r="A86" s="20">
        <v>115</v>
      </c>
      <c r="B86" s="20" t="s">
        <v>27</v>
      </c>
      <c r="C86" s="20" t="s">
        <v>512</v>
      </c>
      <c r="D86" s="20" t="s">
        <v>662</v>
      </c>
      <c r="E86" s="20"/>
      <c r="F86" s="20" t="s">
        <v>28</v>
      </c>
      <c r="G86" s="20">
        <v>44074191</v>
      </c>
      <c r="H86" s="20" t="s">
        <v>403</v>
      </c>
      <c r="I86" s="20" t="s">
        <v>643</v>
      </c>
      <c r="J86" s="20" t="s">
        <v>644</v>
      </c>
      <c r="K86" s="26" t="s">
        <v>645</v>
      </c>
      <c r="L86" s="20" t="s">
        <v>29</v>
      </c>
      <c r="M86" s="52">
        <v>31409</v>
      </c>
      <c r="N86" s="20">
        <v>944086410</v>
      </c>
      <c r="O86" s="24" t="s">
        <v>232</v>
      </c>
      <c r="P86" s="20" t="s">
        <v>30</v>
      </c>
      <c r="Q86" s="20" t="s">
        <v>27</v>
      </c>
      <c r="R86" s="31" t="s">
        <v>32</v>
      </c>
      <c r="S86" s="20">
        <v>20601242657</v>
      </c>
      <c r="T86" s="20" t="s">
        <v>33</v>
      </c>
      <c r="U86" s="20" t="s">
        <v>123</v>
      </c>
      <c r="V86" s="20" t="s">
        <v>147</v>
      </c>
      <c r="W86" s="20" t="s">
        <v>31</v>
      </c>
      <c r="X86" s="20" t="s">
        <v>655</v>
      </c>
      <c r="Y86" s="20" t="s">
        <v>31</v>
      </c>
      <c r="Z86" s="20" t="s">
        <v>31</v>
      </c>
      <c r="AA86" s="20" t="s">
        <v>31</v>
      </c>
      <c r="AB86" s="26">
        <v>37</v>
      </c>
      <c r="AC86" s="14" t="s">
        <v>111</v>
      </c>
      <c r="AD86" s="14" t="s">
        <v>27</v>
      </c>
      <c r="AE86" s="14"/>
      <c r="AF86" s="42">
        <v>44846</v>
      </c>
      <c r="AG86" s="42"/>
      <c r="AH86" s="42"/>
      <c r="AI86" s="42"/>
      <c r="AJ86" s="42">
        <v>44992</v>
      </c>
      <c r="AK86" s="14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</row>
    <row r="87" spans="1:346" s="41" customFormat="1" hidden="1" x14ac:dyDescent="0.25">
      <c r="A87" s="20">
        <v>117</v>
      </c>
      <c r="B87" s="20" t="s">
        <v>27</v>
      </c>
      <c r="C87" s="20" t="s">
        <v>512</v>
      </c>
      <c r="D87" s="20" t="s">
        <v>667</v>
      </c>
      <c r="E87" s="20"/>
      <c r="F87" s="20" t="s">
        <v>28</v>
      </c>
      <c r="G87" s="20">
        <v>72944466</v>
      </c>
      <c r="H87" s="20" t="s">
        <v>663</v>
      </c>
      <c r="I87" s="20" t="s">
        <v>664</v>
      </c>
      <c r="J87" s="20" t="s">
        <v>665</v>
      </c>
      <c r="K87" s="26" t="s">
        <v>666</v>
      </c>
      <c r="L87" s="20" t="s">
        <v>29</v>
      </c>
      <c r="M87" s="52">
        <v>35829</v>
      </c>
      <c r="N87" s="20">
        <v>994714911</v>
      </c>
      <c r="O87" s="24" t="s">
        <v>232</v>
      </c>
      <c r="P87" s="20" t="s">
        <v>30</v>
      </c>
      <c r="Q87" s="20" t="s">
        <v>27</v>
      </c>
      <c r="R87" s="31" t="s">
        <v>32</v>
      </c>
      <c r="S87" s="20">
        <v>20601242657</v>
      </c>
      <c r="T87" s="20" t="s">
        <v>33</v>
      </c>
      <c r="U87" s="20" t="s">
        <v>123</v>
      </c>
      <c r="V87" s="20" t="s">
        <v>147</v>
      </c>
      <c r="W87" s="20" t="s">
        <v>31</v>
      </c>
      <c r="X87" s="20" t="s">
        <v>671</v>
      </c>
      <c r="Y87" s="20" t="s">
        <v>672</v>
      </c>
      <c r="Z87" s="20" t="s">
        <v>31</v>
      </c>
      <c r="AA87" s="20" t="s">
        <v>31</v>
      </c>
      <c r="AB87" s="26">
        <v>24</v>
      </c>
      <c r="AC87" s="14" t="s">
        <v>111</v>
      </c>
      <c r="AD87" s="14" t="s">
        <v>27</v>
      </c>
      <c r="AE87" s="14"/>
      <c r="AF87" s="42">
        <v>44874</v>
      </c>
      <c r="AG87" s="42"/>
      <c r="AH87" s="42"/>
      <c r="AI87" s="42"/>
      <c r="AJ87" s="42">
        <v>44971</v>
      </c>
      <c r="AK87" s="14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</row>
    <row r="88" spans="1:346" s="41" customFormat="1" hidden="1" x14ac:dyDescent="0.25">
      <c r="A88" s="20">
        <v>71</v>
      </c>
      <c r="B88" s="20" t="s">
        <v>27</v>
      </c>
      <c r="C88" s="20" t="s">
        <v>512</v>
      </c>
      <c r="D88" s="20" t="s">
        <v>426</v>
      </c>
      <c r="E88" s="20"/>
      <c r="F88" s="20" t="s">
        <v>28</v>
      </c>
      <c r="G88" s="20">
        <v>71770643</v>
      </c>
      <c r="H88" s="20" t="s">
        <v>205</v>
      </c>
      <c r="I88" s="20" t="s">
        <v>190</v>
      </c>
      <c r="J88" s="20" t="s">
        <v>419</v>
      </c>
      <c r="K88" s="22" t="s">
        <v>420</v>
      </c>
      <c r="L88" s="20" t="s">
        <v>29</v>
      </c>
      <c r="M88" s="52">
        <v>36685</v>
      </c>
      <c r="N88" s="20">
        <v>947946040</v>
      </c>
      <c r="O88" s="24" t="s">
        <v>232</v>
      </c>
      <c r="P88" s="20" t="s">
        <v>30</v>
      </c>
      <c r="Q88" s="20" t="s">
        <v>27</v>
      </c>
      <c r="R88" s="31" t="s">
        <v>32</v>
      </c>
      <c r="S88" s="20">
        <v>20601242657</v>
      </c>
      <c r="T88" s="20" t="s">
        <v>33</v>
      </c>
      <c r="U88" s="20" t="s">
        <v>123</v>
      </c>
      <c r="V88" s="20" t="s">
        <v>147</v>
      </c>
      <c r="W88" s="20" t="s">
        <v>31</v>
      </c>
      <c r="X88" s="20" t="s">
        <v>421</v>
      </c>
      <c r="Y88" s="20" t="s">
        <v>31</v>
      </c>
      <c r="Z88" s="20" t="s">
        <v>31</v>
      </c>
      <c r="AA88" s="20" t="s">
        <v>31</v>
      </c>
      <c r="AB88" s="26">
        <v>21</v>
      </c>
      <c r="AC88" s="14" t="s">
        <v>111</v>
      </c>
      <c r="AD88" s="14" t="s">
        <v>27</v>
      </c>
      <c r="AE88" s="14"/>
      <c r="AF88" s="42">
        <v>44461</v>
      </c>
      <c r="AG88" s="42"/>
      <c r="AH88" s="42"/>
      <c r="AI88" s="42"/>
      <c r="AJ88" s="42">
        <v>44985</v>
      </c>
      <c r="AK88" s="14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</row>
    <row r="89" spans="1:346" s="41" customFormat="1" hidden="1" x14ac:dyDescent="0.25">
      <c r="A89" s="20">
        <v>105</v>
      </c>
      <c r="B89" s="20" t="s">
        <v>27</v>
      </c>
      <c r="C89" s="20" t="s">
        <v>512</v>
      </c>
      <c r="D89" s="20" t="s">
        <v>616</v>
      </c>
      <c r="E89" s="20"/>
      <c r="F89" s="20" t="s">
        <v>28</v>
      </c>
      <c r="G89" s="20">
        <v>74229717</v>
      </c>
      <c r="H89" s="20" t="s">
        <v>582</v>
      </c>
      <c r="I89" s="20" t="s">
        <v>583</v>
      </c>
      <c r="J89" s="20" t="s">
        <v>584</v>
      </c>
      <c r="K89" s="20" t="s">
        <v>585</v>
      </c>
      <c r="L89" s="20" t="s">
        <v>29</v>
      </c>
      <c r="M89" s="52">
        <v>35032</v>
      </c>
      <c r="N89" s="20">
        <v>928681430</v>
      </c>
      <c r="O89" s="24" t="s">
        <v>232</v>
      </c>
      <c r="P89" s="20" t="s">
        <v>30</v>
      </c>
      <c r="Q89" s="20" t="s">
        <v>27</v>
      </c>
      <c r="R89" s="31" t="s">
        <v>32</v>
      </c>
      <c r="S89" s="20">
        <v>20601242657</v>
      </c>
      <c r="T89" s="20" t="s">
        <v>33</v>
      </c>
      <c r="U89" s="20" t="s">
        <v>123</v>
      </c>
      <c r="V89" s="20" t="s">
        <v>147</v>
      </c>
      <c r="W89" s="20" t="s">
        <v>31</v>
      </c>
      <c r="X89" s="20" t="s">
        <v>596</v>
      </c>
      <c r="Y89" s="20" t="s">
        <v>31</v>
      </c>
      <c r="Z89" s="20" t="s">
        <v>31</v>
      </c>
      <c r="AA89" s="20" t="s">
        <v>31</v>
      </c>
      <c r="AB89" s="26">
        <v>27</v>
      </c>
      <c r="AC89" s="14" t="s">
        <v>111</v>
      </c>
      <c r="AD89" s="14" t="s">
        <v>27</v>
      </c>
      <c r="AE89" s="14"/>
      <c r="AF89" s="42">
        <v>44804</v>
      </c>
      <c r="AG89" s="42"/>
      <c r="AH89" s="42"/>
      <c r="AI89" s="42"/>
      <c r="AJ89" s="42">
        <v>44926</v>
      </c>
      <c r="AK89" s="14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</row>
    <row r="90" spans="1:346" s="1" customFormat="1" hidden="1" x14ac:dyDescent="0.25">
      <c r="A90" s="20">
        <v>43</v>
      </c>
      <c r="B90" s="20" t="s">
        <v>27</v>
      </c>
      <c r="C90" s="20" t="s">
        <v>512</v>
      </c>
      <c r="D90" s="20" t="s">
        <v>178</v>
      </c>
      <c r="E90" s="20"/>
      <c r="F90" s="20" t="s">
        <v>28</v>
      </c>
      <c r="G90" s="20">
        <v>46949881</v>
      </c>
      <c r="H90" s="20" t="s">
        <v>66</v>
      </c>
      <c r="I90" s="20" t="s">
        <v>153</v>
      </c>
      <c r="J90" s="20" t="s">
        <v>154</v>
      </c>
      <c r="K90" s="22" t="str">
        <f>CONCATENATE(H90," ",I90," ",J90)</f>
        <v>REYES GUZMAN SEGUNDO</v>
      </c>
      <c r="L90" s="20" t="s">
        <v>29</v>
      </c>
      <c r="M90" s="23" t="s">
        <v>231</v>
      </c>
      <c r="N90" s="20">
        <v>971477273</v>
      </c>
      <c r="O90" s="24" t="s">
        <v>232</v>
      </c>
      <c r="P90" s="20" t="s">
        <v>30</v>
      </c>
      <c r="Q90" s="20" t="s">
        <v>27</v>
      </c>
      <c r="R90" s="25" t="s">
        <v>32</v>
      </c>
      <c r="S90" s="20">
        <v>20601242657</v>
      </c>
      <c r="T90" s="20" t="s">
        <v>33</v>
      </c>
      <c r="U90" s="20" t="s">
        <v>123</v>
      </c>
      <c r="V90" s="20" t="s">
        <v>159</v>
      </c>
      <c r="W90" s="20" t="s">
        <v>31</v>
      </c>
      <c r="X90" s="26" t="s">
        <v>331</v>
      </c>
      <c r="Y90" s="26" t="s">
        <v>330</v>
      </c>
      <c r="Z90" s="26" t="s">
        <v>34</v>
      </c>
      <c r="AA90" s="26" t="s">
        <v>45</v>
      </c>
      <c r="AB90" s="26">
        <v>30</v>
      </c>
      <c r="AC90" s="14" t="s">
        <v>34</v>
      </c>
      <c r="AD90" s="14" t="s">
        <v>27</v>
      </c>
      <c r="AE90" s="14"/>
      <c r="AF90" s="42">
        <v>44279</v>
      </c>
      <c r="AG90" s="42"/>
      <c r="AH90" s="42"/>
      <c r="AI90" s="42"/>
      <c r="AJ90" s="42">
        <v>45014</v>
      </c>
      <c r="AK90" s="14"/>
    </row>
    <row r="91" spans="1:346" s="41" customFormat="1" hidden="1" x14ac:dyDescent="0.25">
      <c r="A91" s="20">
        <v>125</v>
      </c>
      <c r="B91" s="20" t="s">
        <v>27</v>
      </c>
      <c r="C91" s="20" t="s">
        <v>512</v>
      </c>
      <c r="D91" s="20" t="s">
        <v>715</v>
      </c>
      <c r="E91" s="20"/>
      <c r="F91" s="20" t="s">
        <v>28</v>
      </c>
      <c r="G91" s="20">
        <v>26672922</v>
      </c>
      <c r="H91" s="20" t="s">
        <v>709</v>
      </c>
      <c r="I91" s="20" t="s">
        <v>571</v>
      </c>
      <c r="J91" s="20" t="s">
        <v>710</v>
      </c>
      <c r="K91" s="26" t="s">
        <v>711</v>
      </c>
      <c r="L91" s="20" t="s">
        <v>29</v>
      </c>
      <c r="M91" s="52" t="s">
        <v>712</v>
      </c>
      <c r="N91" s="20">
        <v>946925916</v>
      </c>
      <c r="O91" s="24" t="s">
        <v>232</v>
      </c>
      <c r="P91" s="20" t="s">
        <v>30</v>
      </c>
      <c r="Q91" s="20" t="s">
        <v>27</v>
      </c>
      <c r="R91" s="31" t="s">
        <v>32</v>
      </c>
      <c r="S91" s="20">
        <v>20601242657</v>
      </c>
      <c r="T91" s="20" t="s">
        <v>33</v>
      </c>
      <c r="U91" s="20" t="s">
        <v>123</v>
      </c>
      <c r="V91" s="20" t="s">
        <v>147</v>
      </c>
      <c r="W91" s="20" t="s">
        <v>31</v>
      </c>
      <c r="X91" s="20" t="s">
        <v>713</v>
      </c>
      <c r="Y91" s="20" t="s">
        <v>509</v>
      </c>
      <c r="Z91" s="20" t="s">
        <v>31</v>
      </c>
      <c r="AA91" s="20" t="s">
        <v>31</v>
      </c>
      <c r="AB91" s="26">
        <v>52</v>
      </c>
      <c r="AC91" s="14" t="s">
        <v>111</v>
      </c>
      <c r="AD91" s="14" t="s">
        <v>27</v>
      </c>
      <c r="AE91" s="14"/>
      <c r="AF91" s="42"/>
      <c r="AG91" s="42"/>
      <c r="AH91" s="42"/>
      <c r="AI91" s="42"/>
      <c r="AJ91" s="42">
        <v>44963</v>
      </c>
      <c r="AK91" s="14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</row>
    <row r="92" spans="1:346" s="41" customFormat="1" hidden="1" x14ac:dyDescent="0.25">
      <c r="A92" s="20">
        <v>121</v>
      </c>
      <c r="B92" s="20" t="s">
        <v>27</v>
      </c>
      <c r="C92" s="20" t="s">
        <v>512</v>
      </c>
      <c r="D92" s="20" t="s">
        <v>703</v>
      </c>
      <c r="E92" s="20"/>
      <c r="F92" s="20" t="s">
        <v>28</v>
      </c>
      <c r="G92" s="20">
        <v>46859648</v>
      </c>
      <c r="H92" s="20" t="s">
        <v>680</v>
      </c>
      <c r="I92" s="20" t="s">
        <v>681</v>
      </c>
      <c r="J92" s="20" t="s">
        <v>682</v>
      </c>
      <c r="K92" s="26" t="s">
        <v>683</v>
      </c>
      <c r="L92" s="20" t="s">
        <v>29</v>
      </c>
      <c r="M92" s="52" t="s">
        <v>684</v>
      </c>
      <c r="N92" s="20">
        <v>948229992</v>
      </c>
      <c r="O92" s="24" t="s">
        <v>232</v>
      </c>
      <c r="P92" s="20" t="s">
        <v>30</v>
      </c>
      <c r="Q92" s="20" t="s">
        <v>27</v>
      </c>
      <c r="R92" s="31" t="s">
        <v>32</v>
      </c>
      <c r="S92" s="20">
        <v>20601242657</v>
      </c>
      <c r="T92" s="20" t="s">
        <v>33</v>
      </c>
      <c r="U92" s="20" t="s">
        <v>123</v>
      </c>
      <c r="V92" s="20" t="s">
        <v>147</v>
      </c>
      <c r="W92" s="20" t="s">
        <v>31</v>
      </c>
      <c r="X92" s="20" t="s">
        <v>685</v>
      </c>
      <c r="Y92" s="20" t="s">
        <v>686</v>
      </c>
      <c r="Z92" s="20" t="s">
        <v>687</v>
      </c>
      <c r="AA92" s="20" t="s">
        <v>31</v>
      </c>
      <c r="AB92" s="26">
        <v>31</v>
      </c>
      <c r="AC92" s="14" t="s">
        <v>111</v>
      </c>
      <c r="AD92" s="14" t="s">
        <v>27</v>
      </c>
      <c r="AE92" s="14"/>
      <c r="AF92" s="42">
        <v>44951</v>
      </c>
      <c r="AG92" s="42"/>
      <c r="AH92" s="42"/>
      <c r="AI92" s="42"/>
      <c r="AJ92" s="14"/>
      <c r="AK92" s="14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</row>
    <row r="93" spans="1:346" s="41" customFormat="1" hidden="1" x14ac:dyDescent="0.25">
      <c r="A93" s="20">
        <v>110</v>
      </c>
      <c r="B93" s="20" t="s">
        <v>27</v>
      </c>
      <c r="C93" s="20" t="s">
        <v>512</v>
      </c>
      <c r="D93" s="20" t="s">
        <v>618</v>
      </c>
      <c r="E93" s="20"/>
      <c r="F93" s="20" t="s">
        <v>28</v>
      </c>
      <c r="G93" s="20">
        <v>42993500</v>
      </c>
      <c r="H93" s="20" t="s">
        <v>608</v>
      </c>
      <c r="I93" s="20" t="s">
        <v>609</v>
      </c>
      <c r="J93" s="20" t="s">
        <v>610</v>
      </c>
      <c r="K93" s="26" t="s">
        <v>614</v>
      </c>
      <c r="L93" s="20" t="s">
        <v>29</v>
      </c>
      <c r="M93" s="52">
        <v>34210</v>
      </c>
      <c r="N93" s="20">
        <v>922546455</v>
      </c>
      <c r="O93" s="24" t="s">
        <v>232</v>
      </c>
      <c r="P93" s="20" t="s">
        <v>30</v>
      </c>
      <c r="Q93" s="20" t="s">
        <v>27</v>
      </c>
      <c r="R93" s="31" t="s">
        <v>32</v>
      </c>
      <c r="S93" s="20">
        <v>20601242657</v>
      </c>
      <c r="T93" s="20" t="s">
        <v>33</v>
      </c>
      <c r="U93" s="20" t="s">
        <v>123</v>
      </c>
      <c r="V93" s="20" t="s">
        <v>147</v>
      </c>
      <c r="W93" s="20" t="s">
        <v>31</v>
      </c>
      <c r="X93" s="20" t="s">
        <v>625</v>
      </c>
      <c r="Y93" s="20" t="s">
        <v>626</v>
      </c>
      <c r="Z93" s="20" t="s">
        <v>300</v>
      </c>
      <c r="AA93" s="20" t="s">
        <v>31</v>
      </c>
      <c r="AB93" s="26">
        <v>39</v>
      </c>
      <c r="AC93" s="14" t="s">
        <v>111</v>
      </c>
      <c r="AD93" s="14" t="s">
        <v>27</v>
      </c>
      <c r="AE93" s="14"/>
      <c r="AF93" s="42">
        <v>44818</v>
      </c>
      <c r="AG93" s="42"/>
      <c r="AH93" s="42"/>
      <c r="AI93" s="42"/>
      <c r="AJ93" s="42">
        <v>44999</v>
      </c>
      <c r="AK93" s="14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</row>
    <row r="94" spans="1:346" s="41" customFormat="1" hidden="1" x14ac:dyDescent="0.25">
      <c r="A94" s="20">
        <v>111</v>
      </c>
      <c r="B94" s="20" t="s">
        <v>27</v>
      </c>
      <c r="C94" s="20" t="s">
        <v>512</v>
      </c>
      <c r="D94" s="20" t="s">
        <v>619</v>
      </c>
      <c r="E94" s="20"/>
      <c r="F94" s="20" t="s">
        <v>28</v>
      </c>
      <c r="G94" s="20">
        <v>77343999</v>
      </c>
      <c r="H94" s="20" t="s">
        <v>611</v>
      </c>
      <c r="I94" s="20" t="s">
        <v>612</v>
      </c>
      <c r="J94" s="20" t="s">
        <v>613</v>
      </c>
      <c r="K94" s="26" t="s">
        <v>615</v>
      </c>
      <c r="L94" s="20" t="s">
        <v>29</v>
      </c>
      <c r="M94" s="52">
        <v>35079</v>
      </c>
      <c r="N94" s="20">
        <v>935727503</v>
      </c>
      <c r="O94" s="24" t="s">
        <v>232</v>
      </c>
      <c r="P94" s="20" t="s">
        <v>30</v>
      </c>
      <c r="Q94" s="20" t="s">
        <v>27</v>
      </c>
      <c r="R94" s="31" t="s">
        <v>32</v>
      </c>
      <c r="S94" s="20">
        <v>20601242657</v>
      </c>
      <c r="T94" s="20" t="s">
        <v>33</v>
      </c>
      <c r="U94" s="20" t="s">
        <v>123</v>
      </c>
      <c r="V94" s="20" t="s">
        <v>147</v>
      </c>
      <c r="W94" s="20" t="s">
        <v>31</v>
      </c>
      <c r="X94" s="20" t="s">
        <v>624</v>
      </c>
      <c r="Y94" s="20" t="s">
        <v>31</v>
      </c>
      <c r="Z94" s="20" t="s">
        <v>31</v>
      </c>
      <c r="AA94" s="20" t="s">
        <v>31</v>
      </c>
      <c r="AB94" s="26">
        <v>26</v>
      </c>
      <c r="AC94" s="14" t="s">
        <v>111</v>
      </c>
      <c r="AD94" s="14" t="s">
        <v>27</v>
      </c>
      <c r="AE94" s="14"/>
      <c r="AF94" s="42">
        <v>44818</v>
      </c>
      <c r="AG94" s="42"/>
      <c r="AH94" s="42"/>
      <c r="AI94" s="42"/>
      <c r="AJ94" s="42">
        <v>45093</v>
      </c>
      <c r="AK94" s="14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</row>
    <row r="95" spans="1:346" s="41" customFormat="1" hidden="1" x14ac:dyDescent="0.25">
      <c r="A95" s="20">
        <v>106</v>
      </c>
      <c r="B95" s="20" t="s">
        <v>27</v>
      </c>
      <c r="C95" s="20" t="s">
        <v>512</v>
      </c>
      <c r="D95" s="20" t="s">
        <v>602</v>
      </c>
      <c r="E95" s="20"/>
      <c r="F95" s="20" t="s">
        <v>28</v>
      </c>
      <c r="G95" s="20">
        <v>48008907</v>
      </c>
      <c r="H95" s="20" t="s">
        <v>586</v>
      </c>
      <c r="I95" s="20" t="s">
        <v>87</v>
      </c>
      <c r="J95" s="20" t="s">
        <v>587</v>
      </c>
      <c r="K95" s="20" t="s">
        <v>588</v>
      </c>
      <c r="L95" s="20" t="s">
        <v>29</v>
      </c>
      <c r="M95" s="52">
        <v>34128</v>
      </c>
      <c r="N95" s="20">
        <v>917676651</v>
      </c>
      <c r="O95" s="24" t="s">
        <v>232</v>
      </c>
      <c r="P95" s="20" t="s">
        <v>30</v>
      </c>
      <c r="Q95" s="20" t="s">
        <v>27</v>
      </c>
      <c r="R95" s="31" t="s">
        <v>32</v>
      </c>
      <c r="S95" s="20">
        <v>20601242657</v>
      </c>
      <c r="T95" s="20" t="s">
        <v>33</v>
      </c>
      <c r="U95" s="20" t="s">
        <v>123</v>
      </c>
      <c r="V95" s="20" t="s">
        <v>147</v>
      </c>
      <c r="W95" s="20" t="s">
        <v>31</v>
      </c>
      <c r="X95" s="20" t="s">
        <v>597</v>
      </c>
      <c r="Y95" s="20" t="s">
        <v>31</v>
      </c>
      <c r="Z95" s="20" t="s">
        <v>31</v>
      </c>
      <c r="AA95" s="20" t="s">
        <v>31</v>
      </c>
      <c r="AB95" s="26">
        <v>29</v>
      </c>
      <c r="AC95" s="14" t="s">
        <v>111</v>
      </c>
      <c r="AD95" s="14" t="s">
        <v>27</v>
      </c>
      <c r="AE95" s="14"/>
      <c r="AF95" s="42">
        <v>44804</v>
      </c>
      <c r="AG95" s="42"/>
      <c r="AH95" s="42"/>
      <c r="AI95" s="42"/>
      <c r="AJ95" s="42">
        <v>45062</v>
      </c>
      <c r="AK95" s="14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</row>
    <row r="96" spans="1:346" s="41" customFormat="1" hidden="1" x14ac:dyDescent="0.25">
      <c r="A96" s="20">
        <v>118</v>
      </c>
      <c r="B96" s="20" t="s">
        <v>27</v>
      </c>
      <c r="C96" s="20" t="s">
        <v>512</v>
      </c>
      <c r="D96" s="20" t="s">
        <v>670</v>
      </c>
      <c r="E96" s="20"/>
      <c r="F96" s="20" t="s">
        <v>28</v>
      </c>
      <c r="G96" s="20">
        <v>46843843</v>
      </c>
      <c r="H96" s="20" t="s">
        <v>107</v>
      </c>
      <c r="I96" s="20" t="s">
        <v>84</v>
      </c>
      <c r="J96" s="20" t="s">
        <v>668</v>
      </c>
      <c r="K96" s="26" t="s">
        <v>669</v>
      </c>
      <c r="L96" s="20" t="s">
        <v>29</v>
      </c>
      <c r="M96" s="52">
        <v>33533</v>
      </c>
      <c r="N96" s="20">
        <v>996616291</v>
      </c>
      <c r="O96" s="24" t="s">
        <v>232</v>
      </c>
      <c r="P96" s="20" t="s">
        <v>30</v>
      </c>
      <c r="Q96" s="20" t="s">
        <v>27</v>
      </c>
      <c r="R96" s="31" t="s">
        <v>32</v>
      </c>
      <c r="S96" s="20">
        <v>20601242657</v>
      </c>
      <c r="T96" s="20" t="s">
        <v>33</v>
      </c>
      <c r="U96" s="20" t="s">
        <v>123</v>
      </c>
      <c r="V96" s="20" t="s">
        <v>285</v>
      </c>
      <c r="W96" s="20" t="s">
        <v>31</v>
      </c>
      <c r="X96" s="20" t="s">
        <v>673</v>
      </c>
      <c r="Y96" s="20" t="s">
        <v>31</v>
      </c>
      <c r="Z96" s="20" t="s">
        <v>31</v>
      </c>
      <c r="AA96" s="20" t="s">
        <v>31</v>
      </c>
      <c r="AB96" s="26">
        <v>31</v>
      </c>
      <c r="AC96" s="14" t="s">
        <v>111</v>
      </c>
      <c r="AD96" s="14" t="s">
        <v>27</v>
      </c>
      <c r="AE96" s="14"/>
      <c r="AF96" s="42">
        <v>44874</v>
      </c>
      <c r="AG96" s="42"/>
      <c r="AH96" s="42"/>
      <c r="AI96" s="42"/>
      <c r="AJ96" s="14"/>
      <c r="AK96" s="14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</row>
    <row r="97" spans="1:147" s="41" customFormat="1" hidden="1" x14ac:dyDescent="0.25">
      <c r="A97" s="20">
        <v>128</v>
      </c>
      <c r="B97" s="20" t="s">
        <v>27</v>
      </c>
      <c r="C97" s="20" t="s">
        <v>512</v>
      </c>
      <c r="D97" s="20" t="s">
        <v>743</v>
      </c>
      <c r="E97" s="20"/>
      <c r="F97" s="20" t="s">
        <v>28</v>
      </c>
      <c r="G97" s="20">
        <v>74652100</v>
      </c>
      <c r="H97" s="20" t="s">
        <v>552</v>
      </c>
      <c r="I97" s="20" t="s">
        <v>724</v>
      </c>
      <c r="J97" s="20" t="s">
        <v>725</v>
      </c>
      <c r="K97" s="26" t="s">
        <v>726</v>
      </c>
      <c r="L97" s="20" t="s">
        <v>29</v>
      </c>
      <c r="M97" s="21">
        <v>35852</v>
      </c>
      <c r="N97" s="20"/>
      <c r="O97" s="24" t="s">
        <v>232</v>
      </c>
      <c r="P97" s="20" t="s">
        <v>30</v>
      </c>
      <c r="Q97" s="20" t="s">
        <v>27</v>
      </c>
      <c r="R97" s="31" t="s">
        <v>32</v>
      </c>
      <c r="S97" s="20">
        <v>20601242657</v>
      </c>
      <c r="T97" s="20" t="s">
        <v>33</v>
      </c>
      <c r="U97" s="20" t="s">
        <v>123</v>
      </c>
      <c r="V97" s="20" t="s">
        <v>147</v>
      </c>
      <c r="W97" s="20" t="s">
        <v>31</v>
      </c>
      <c r="X97" s="26" t="s">
        <v>727</v>
      </c>
      <c r="Y97" s="20" t="s">
        <v>31</v>
      </c>
      <c r="Z97" s="20" t="s">
        <v>31</v>
      </c>
      <c r="AA97" s="20" t="s">
        <v>31</v>
      </c>
      <c r="AB97" s="26">
        <v>25</v>
      </c>
      <c r="AC97" s="14" t="s">
        <v>111</v>
      </c>
      <c r="AD97" s="14" t="s">
        <v>27</v>
      </c>
      <c r="AE97" s="14"/>
      <c r="AF97" s="42">
        <v>45007</v>
      </c>
      <c r="AG97" s="42"/>
      <c r="AH97" s="42"/>
      <c r="AI97" s="42"/>
      <c r="AJ97" s="14"/>
      <c r="AK97" s="14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</row>
    <row r="98" spans="1:147" s="41" customFormat="1" hidden="1" x14ac:dyDescent="0.25">
      <c r="A98" s="20">
        <v>116</v>
      </c>
      <c r="B98" s="20" t="s">
        <v>27</v>
      </c>
      <c r="C98" s="20" t="s">
        <v>512</v>
      </c>
      <c r="D98" s="20" t="s">
        <v>659</v>
      </c>
      <c r="E98" s="20"/>
      <c r="F98" s="20" t="s">
        <v>28</v>
      </c>
      <c r="G98" s="20">
        <v>46790663</v>
      </c>
      <c r="H98" s="20" t="s">
        <v>646</v>
      </c>
      <c r="I98" s="20" t="s">
        <v>55</v>
      </c>
      <c r="J98" s="20" t="s">
        <v>647</v>
      </c>
      <c r="K98" s="26" t="s">
        <v>650</v>
      </c>
      <c r="L98" s="20" t="s">
        <v>29</v>
      </c>
      <c r="M98" s="52">
        <v>33277</v>
      </c>
      <c r="N98" s="20">
        <v>978825687</v>
      </c>
      <c r="O98" s="24" t="s">
        <v>232</v>
      </c>
      <c r="P98" s="20" t="s">
        <v>30</v>
      </c>
      <c r="Q98" s="20" t="s">
        <v>27</v>
      </c>
      <c r="R98" s="31" t="s">
        <v>32</v>
      </c>
      <c r="S98" s="20">
        <v>20601242657</v>
      </c>
      <c r="T98" s="20" t="s">
        <v>33</v>
      </c>
      <c r="U98" s="20" t="s">
        <v>123</v>
      </c>
      <c r="V98" s="20" t="s">
        <v>147</v>
      </c>
      <c r="W98" s="20" t="s">
        <v>31</v>
      </c>
      <c r="X98" s="20" t="s">
        <v>656</v>
      </c>
      <c r="Y98" s="20" t="s">
        <v>31</v>
      </c>
      <c r="Z98" s="20" t="s">
        <v>31</v>
      </c>
      <c r="AA98" s="20" t="s">
        <v>31</v>
      </c>
      <c r="AB98" s="26">
        <v>31</v>
      </c>
      <c r="AC98" s="14" t="s">
        <v>111</v>
      </c>
      <c r="AD98" s="14" t="s">
        <v>27</v>
      </c>
      <c r="AE98" s="14"/>
      <c r="AF98" s="42">
        <v>44846</v>
      </c>
      <c r="AG98" s="42"/>
      <c r="AH98" s="42"/>
      <c r="AI98" s="42"/>
      <c r="AJ98" s="42">
        <v>44939</v>
      </c>
      <c r="AK98" s="14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</row>
    <row r="99" spans="1:147" s="41" customFormat="1" hidden="1" x14ac:dyDescent="0.25">
      <c r="A99" s="20">
        <v>109</v>
      </c>
      <c r="B99" s="20" t="s">
        <v>27</v>
      </c>
      <c r="C99" s="20" t="s">
        <v>512</v>
      </c>
      <c r="D99" s="20" t="s">
        <v>620</v>
      </c>
      <c r="E99" s="20"/>
      <c r="F99" s="20" t="s">
        <v>28</v>
      </c>
      <c r="G99" s="20">
        <v>74229718</v>
      </c>
      <c r="H99" s="20" t="s">
        <v>606</v>
      </c>
      <c r="I99" s="20" t="s">
        <v>583</v>
      </c>
      <c r="J99" s="20" t="s">
        <v>607</v>
      </c>
      <c r="K99" s="26" t="s">
        <v>638</v>
      </c>
      <c r="L99" s="20" t="s">
        <v>29</v>
      </c>
      <c r="M99" s="52">
        <v>36085</v>
      </c>
      <c r="N99" s="20">
        <v>918357580</v>
      </c>
      <c r="O99" s="24" t="s">
        <v>232</v>
      </c>
      <c r="P99" s="20" t="s">
        <v>30</v>
      </c>
      <c r="Q99" s="20" t="s">
        <v>27</v>
      </c>
      <c r="R99" s="31" t="s">
        <v>32</v>
      </c>
      <c r="S99" s="20">
        <v>20601242657</v>
      </c>
      <c r="T99" s="20" t="s">
        <v>33</v>
      </c>
      <c r="U99" s="20" t="s">
        <v>123</v>
      </c>
      <c r="V99" s="20" t="s">
        <v>147</v>
      </c>
      <c r="W99" s="20" t="s">
        <v>31</v>
      </c>
      <c r="X99" s="20" t="s">
        <v>623</v>
      </c>
      <c r="Y99" s="20" t="s">
        <v>31</v>
      </c>
      <c r="Z99" s="20" t="s">
        <v>31</v>
      </c>
      <c r="AA99" s="20" t="s">
        <v>31</v>
      </c>
      <c r="AB99" s="26">
        <v>24</v>
      </c>
      <c r="AC99" s="14" t="s">
        <v>111</v>
      </c>
      <c r="AD99" s="14" t="s">
        <v>27</v>
      </c>
      <c r="AE99" s="14"/>
      <c r="AF99" s="42">
        <v>44818</v>
      </c>
      <c r="AG99" s="42"/>
      <c r="AH99" s="42"/>
      <c r="AI99" s="42"/>
      <c r="AJ99" s="14"/>
      <c r="AK99" s="14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</row>
    <row r="100" spans="1:147" s="41" customFormat="1" hidden="1" x14ac:dyDescent="0.25">
      <c r="A100" s="20">
        <v>107</v>
      </c>
      <c r="B100" s="20" t="s">
        <v>27</v>
      </c>
      <c r="C100" s="20" t="s">
        <v>512</v>
      </c>
      <c r="D100" s="20" t="s">
        <v>601</v>
      </c>
      <c r="E100" s="20"/>
      <c r="F100" s="20" t="s">
        <v>28</v>
      </c>
      <c r="G100" s="20">
        <v>70016821</v>
      </c>
      <c r="H100" s="20" t="s">
        <v>589</v>
      </c>
      <c r="I100" s="20" t="s">
        <v>590</v>
      </c>
      <c r="J100" s="20" t="s">
        <v>591</v>
      </c>
      <c r="K100" s="20" t="s">
        <v>592</v>
      </c>
      <c r="L100" s="20" t="s">
        <v>29</v>
      </c>
      <c r="M100" s="52">
        <v>34583</v>
      </c>
      <c r="N100" s="20">
        <v>961452006</v>
      </c>
      <c r="O100" s="24" t="s">
        <v>232</v>
      </c>
      <c r="P100" s="20" t="s">
        <v>30</v>
      </c>
      <c r="Q100" s="20" t="s">
        <v>27</v>
      </c>
      <c r="R100" s="31" t="s">
        <v>32</v>
      </c>
      <c r="S100" s="20">
        <v>20601242657</v>
      </c>
      <c r="T100" s="20" t="s">
        <v>33</v>
      </c>
      <c r="U100" s="20" t="s">
        <v>123</v>
      </c>
      <c r="V100" s="20" t="s">
        <v>147</v>
      </c>
      <c r="W100" s="20" t="s">
        <v>31</v>
      </c>
      <c r="X100" s="20" t="s">
        <v>598</v>
      </c>
      <c r="Y100" s="20" t="s">
        <v>31</v>
      </c>
      <c r="Z100" s="20" t="s">
        <v>31</v>
      </c>
      <c r="AA100" s="20" t="s">
        <v>31</v>
      </c>
      <c r="AB100" s="26">
        <v>28</v>
      </c>
      <c r="AC100" s="14" t="s">
        <v>111</v>
      </c>
      <c r="AD100" s="14" t="s">
        <v>27</v>
      </c>
      <c r="AE100" s="14"/>
      <c r="AF100" s="42">
        <v>44804</v>
      </c>
      <c r="AG100" s="42"/>
      <c r="AH100" s="42"/>
      <c r="AI100" s="42"/>
      <c r="AJ100" s="42">
        <v>45096</v>
      </c>
      <c r="AK100" s="14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</row>
    <row r="101" spans="1:147" s="1" customFormat="1" hidden="1" x14ac:dyDescent="0.25">
      <c r="A101" s="20">
        <v>74</v>
      </c>
      <c r="B101" s="20" t="s">
        <v>27</v>
      </c>
      <c r="C101" s="20" t="s">
        <v>512</v>
      </c>
      <c r="D101" s="20" t="s">
        <v>438</v>
      </c>
      <c r="E101" s="20"/>
      <c r="F101" s="20" t="s">
        <v>28</v>
      </c>
      <c r="G101" s="20">
        <v>70415673</v>
      </c>
      <c r="H101" s="20" t="s">
        <v>434</v>
      </c>
      <c r="I101" s="20" t="s">
        <v>192</v>
      </c>
      <c r="J101" s="20" t="s">
        <v>435</v>
      </c>
      <c r="K101" s="22" t="s">
        <v>436</v>
      </c>
      <c r="L101" s="20" t="s">
        <v>29</v>
      </c>
      <c r="M101" s="52">
        <v>33401</v>
      </c>
      <c r="N101" s="20">
        <v>973515249</v>
      </c>
      <c r="O101" s="24" t="s">
        <v>232</v>
      </c>
      <c r="P101" s="20" t="s">
        <v>30</v>
      </c>
      <c r="Q101" s="20" t="s">
        <v>27</v>
      </c>
      <c r="R101" s="31" t="s">
        <v>32</v>
      </c>
      <c r="S101" s="20">
        <v>20601242657</v>
      </c>
      <c r="T101" s="20" t="s">
        <v>33</v>
      </c>
      <c r="U101" s="20" t="s">
        <v>123</v>
      </c>
      <c r="V101" s="20" t="s">
        <v>147</v>
      </c>
      <c r="W101" s="20" t="s">
        <v>45</v>
      </c>
      <c r="X101" s="20" t="s">
        <v>433</v>
      </c>
      <c r="Y101" s="20" t="s">
        <v>111</v>
      </c>
      <c r="Z101" s="20" t="s">
        <v>432</v>
      </c>
      <c r="AA101" s="20" t="s">
        <v>45</v>
      </c>
      <c r="AB101" s="26">
        <v>30</v>
      </c>
      <c r="AC101" s="14" t="s">
        <v>34</v>
      </c>
      <c r="AD101" s="14" t="s">
        <v>27</v>
      </c>
      <c r="AE101" s="14"/>
      <c r="AF101" s="42">
        <v>44475</v>
      </c>
      <c r="AG101" s="42"/>
      <c r="AH101" s="42"/>
      <c r="AI101" s="42"/>
      <c r="AJ101" s="42">
        <v>45092</v>
      </c>
      <c r="AK101" s="14"/>
    </row>
    <row r="102" spans="1:147" s="1" customFormat="1" hidden="1" x14ac:dyDescent="0.25">
      <c r="A102" s="20">
        <v>38</v>
      </c>
      <c r="B102" s="20" t="s">
        <v>27</v>
      </c>
      <c r="C102" s="20" t="s">
        <v>512</v>
      </c>
      <c r="D102" s="20" t="s">
        <v>764</v>
      </c>
      <c r="E102" s="20"/>
      <c r="F102" s="20" t="s">
        <v>28</v>
      </c>
      <c r="G102" s="20" t="s">
        <v>765</v>
      </c>
      <c r="H102" s="20" t="s">
        <v>766</v>
      </c>
      <c r="I102" s="20" t="s">
        <v>40</v>
      </c>
      <c r="J102" s="20" t="s">
        <v>767</v>
      </c>
      <c r="K102" s="22" t="str">
        <f>CONCATENATE(H102," ",I102," ",J102)</f>
        <v>CASTAÑEDA ROJAS ERVIN GONZALO</v>
      </c>
      <c r="L102" s="20" t="s">
        <v>29</v>
      </c>
      <c r="M102" s="21">
        <v>26217</v>
      </c>
      <c r="N102" s="20">
        <v>993207868</v>
      </c>
      <c r="O102" s="24" t="s">
        <v>232</v>
      </c>
      <c r="P102" s="20" t="s">
        <v>30</v>
      </c>
      <c r="Q102" s="20" t="s">
        <v>27</v>
      </c>
      <c r="R102" s="25" t="s">
        <v>32</v>
      </c>
      <c r="S102" s="20">
        <v>20601242657</v>
      </c>
      <c r="T102" s="20" t="s">
        <v>33</v>
      </c>
      <c r="U102" s="20" t="s">
        <v>123</v>
      </c>
      <c r="V102" s="20" t="s">
        <v>768</v>
      </c>
      <c r="W102" s="20" t="s">
        <v>37</v>
      </c>
      <c r="X102" s="26" t="s">
        <v>769</v>
      </c>
      <c r="Y102" s="26" t="s">
        <v>43</v>
      </c>
      <c r="Z102" s="26" t="s">
        <v>37</v>
      </c>
      <c r="AA102" s="26" t="s">
        <v>37</v>
      </c>
      <c r="AB102" s="26">
        <v>50</v>
      </c>
      <c r="AC102" s="14" t="s">
        <v>34</v>
      </c>
      <c r="AD102" s="14" t="s">
        <v>27</v>
      </c>
      <c r="AE102" s="14"/>
      <c r="AF102" s="42">
        <v>44281</v>
      </c>
      <c r="AG102" s="42"/>
      <c r="AH102" s="42"/>
      <c r="AI102" s="42"/>
      <c r="AJ102" s="42" t="s">
        <v>832</v>
      </c>
      <c r="AK102" s="14"/>
    </row>
    <row r="103" spans="1:147" s="41" customFormat="1" hidden="1" x14ac:dyDescent="0.25">
      <c r="A103" s="20">
        <v>130</v>
      </c>
      <c r="B103" s="20" t="s">
        <v>27</v>
      </c>
      <c r="C103" s="20" t="s">
        <v>512</v>
      </c>
      <c r="D103" s="20" t="s">
        <v>745</v>
      </c>
      <c r="E103" s="20"/>
      <c r="F103" s="20" t="s">
        <v>28</v>
      </c>
      <c r="G103" s="20">
        <v>47210388</v>
      </c>
      <c r="H103" s="20" t="s">
        <v>731</v>
      </c>
      <c r="I103" s="20" t="s">
        <v>732</v>
      </c>
      <c r="J103" s="20" t="s">
        <v>733</v>
      </c>
      <c r="K103" s="26" t="s">
        <v>734</v>
      </c>
      <c r="L103" s="20" t="s">
        <v>29</v>
      </c>
      <c r="M103" s="21">
        <v>33475</v>
      </c>
      <c r="N103" s="20"/>
      <c r="O103" s="24" t="s">
        <v>232</v>
      </c>
      <c r="P103" s="20" t="s">
        <v>30</v>
      </c>
      <c r="Q103" s="20" t="s">
        <v>27</v>
      </c>
      <c r="R103" s="31" t="s">
        <v>32</v>
      </c>
      <c r="S103" s="20">
        <v>20601242657</v>
      </c>
      <c r="T103" s="20" t="s">
        <v>33</v>
      </c>
      <c r="U103" s="20" t="s">
        <v>123</v>
      </c>
      <c r="V103" s="20" t="s">
        <v>147</v>
      </c>
      <c r="W103" s="20" t="s">
        <v>333</v>
      </c>
      <c r="X103" s="26" t="s">
        <v>735</v>
      </c>
      <c r="Y103" s="20" t="s">
        <v>736</v>
      </c>
      <c r="Z103" s="20" t="s">
        <v>521</v>
      </c>
      <c r="AA103" s="20" t="s">
        <v>333</v>
      </c>
      <c r="AB103" s="26">
        <v>32</v>
      </c>
      <c r="AC103" s="14" t="s">
        <v>34</v>
      </c>
      <c r="AD103" s="14" t="s">
        <v>27</v>
      </c>
      <c r="AE103" s="14"/>
      <c r="AF103" s="42">
        <v>45007</v>
      </c>
      <c r="AG103" s="42"/>
      <c r="AH103" s="42"/>
      <c r="AI103" s="42"/>
      <c r="AJ103" s="42">
        <v>45124</v>
      </c>
      <c r="AK103" s="14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</row>
    <row r="104" spans="1:147" s="41" customFormat="1" hidden="1" x14ac:dyDescent="0.25">
      <c r="A104" s="20">
        <v>135</v>
      </c>
      <c r="B104" s="20" t="s">
        <v>27</v>
      </c>
      <c r="C104" s="20" t="s">
        <v>512</v>
      </c>
      <c r="D104" s="20" t="s">
        <v>753</v>
      </c>
      <c r="E104" s="20"/>
      <c r="F104" s="20" t="s">
        <v>28</v>
      </c>
      <c r="G104" s="20">
        <v>46465039</v>
      </c>
      <c r="H104" s="20" t="s">
        <v>646</v>
      </c>
      <c r="I104" s="20" t="s">
        <v>755</v>
      </c>
      <c r="J104" s="20" t="s">
        <v>756</v>
      </c>
      <c r="K104" s="26" t="s">
        <v>757</v>
      </c>
      <c r="L104" s="20" t="s">
        <v>29</v>
      </c>
      <c r="M104" s="21">
        <v>33019</v>
      </c>
      <c r="N104" s="20"/>
      <c r="O104" s="24" t="s">
        <v>232</v>
      </c>
      <c r="P104" s="20" t="s">
        <v>30</v>
      </c>
      <c r="Q104" s="20" t="s">
        <v>27</v>
      </c>
      <c r="R104" s="31" t="s">
        <v>32</v>
      </c>
      <c r="S104" s="20">
        <v>20601242657</v>
      </c>
      <c r="T104" s="20" t="s">
        <v>33</v>
      </c>
      <c r="U104" s="20" t="s">
        <v>123</v>
      </c>
      <c r="V104" s="20" t="s">
        <v>147</v>
      </c>
      <c r="W104" s="20" t="s">
        <v>333</v>
      </c>
      <c r="X104" s="26" t="s">
        <v>763</v>
      </c>
      <c r="Y104" s="20" t="s">
        <v>751</v>
      </c>
      <c r="Z104" s="20" t="s">
        <v>521</v>
      </c>
      <c r="AA104" s="20" t="s">
        <v>333</v>
      </c>
      <c r="AB104" s="26">
        <v>33</v>
      </c>
      <c r="AC104" s="14" t="s">
        <v>34</v>
      </c>
      <c r="AD104" s="14" t="s">
        <v>27</v>
      </c>
      <c r="AE104" s="14"/>
      <c r="AF104" s="42">
        <v>45049</v>
      </c>
      <c r="AG104" s="42"/>
      <c r="AH104" s="42"/>
      <c r="AI104" s="42"/>
      <c r="AJ104" s="42">
        <v>45138</v>
      </c>
      <c r="AK104" s="14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</row>
    <row r="105" spans="1:147" s="41" customFormat="1" hidden="1" x14ac:dyDescent="0.25">
      <c r="A105" s="20">
        <v>136</v>
      </c>
      <c r="B105" s="20" t="s">
        <v>27</v>
      </c>
      <c r="C105" s="20" t="s">
        <v>512</v>
      </c>
      <c r="D105" s="20" t="s">
        <v>754</v>
      </c>
      <c r="E105" s="20"/>
      <c r="F105" s="20" t="s">
        <v>28</v>
      </c>
      <c r="G105" s="20">
        <v>75597185</v>
      </c>
      <c r="H105" s="20" t="s">
        <v>758</v>
      </c>
      <c r="I105" s="20" t="s">
        <v>759</v>
      </c>
      <c r="J105" s="20" t="s">
        <v>760</v>
      </c>
      <c r="K105" s="26" t="s">
        <v>761</v>
      </c>
      <c r="L105" s="20" t="s">
        <v>29</v>
      </c>
      <c r="M105" s="21">
        <v>37003</v>
      </c>
      <c r="N105" s="20">
        <v>963457843</v>
      </c>
      <c r="O105" s="24" t="s">
        <v>232</v>
      </c>
      <c r="P105" s="20" t="s">
        <v>30</v>
      </c>
      <c r="Q105" s="20" t="s">
        <v>27</v>
      </c>
      <c r="R105" s="31" t="s">
        <v>32</v>
      </c>
      <c r="S105" s="20">
        <v>20601242657</v>
      </c>
      <c r="T105" s="20" t="s">
        <v>33</v>
      </c>
      <c r="U105" s="20" t="s">
        <v>123</v>
      </c>
      <c r="V105" s="20" t="s">
        <v>147</v>
      </c>
      <c r="W105" s="20" t="s">
        <v>333</v>
      </c>
      <c r="X105" s="26" t="s">
        <v>762</v>
      </c>
      <c r="Y105" s="20" t="s">
        <v>751</v>
      </c>
      <c r="Z105" s="20" t="s">
        <v>521</v>
      </c>
      <c r="AA105" s="20" t="s">
        <v>333</v>
      </c>
      <c r="AB105" s="26">
        <v>22</v>
      </c>
      <c r="AC105" s="14" t="s">
        <v>34</v>
      </c>
      <c r="AD105" s="14" t="s">
        <v>27</v>
      </c>
      <c r="AE105" s="14"/>
      <c r="AF105" s="42">
        <v>45049</v>
      </c>
      <c r="AG105" s="42"/>
      <c r="AH105" s="42"/>
      <c r="AI105" s="42"/>
      <c r="AJ105" s="42">
        <v>45138</v>
      </c>
      <c r="AK105" s="14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</row>
    <row r="106" spans="1:147" s="41" customFormat="1" hidden="1" x14ac:dyDescent="0.25">
      <c r="A106" s="20">
        <v>138</v>
      </c>
      <c r="B106" s="20" t="s">
        <v>27</v>
      </c>
      <c r="C106" s="20" t="s">
        <v>512</v>
      </c>
      <c r="D106" s="20" t="s">
        <v>290</v>
      </c>
      <c r="E106" s="20"/>
      <c r="F106" s="20" t="s">
        <v>28</v>
      </c>
      <c r="G106" s="20">
        <v>44335122</v>
      </c>
      <c r="H106" s="20" t="s">
        <v>787</v>
      </c>
      <c r="I106" s="20" t="s">
        <v>604</v>
      </c>
      <c r="J106" s="20" t="s">
        <v>788</v>
      </c>
      <c r="K106" s="26" t="s">
        <v>789</v>
      </c>
      <c r="L106" s="20" t="s">
        <v>29</v>
      </c>
      <c r="M106" s="21">
        <v>30185</v>
      </c>
      <c r="N106" s="20">
        <v>982531198</v>
      </c>
      <c r="O106" s="24" t="s">
        <v>232</v>
      </c>
      <c r="P106" s="20" t="s">
        <v>30</v>
      </c>
      <c r="Q106" s="20" t="s">
        <v>27</v>
      </c>
      <c r="R106" s="31" t="s">
        <v>32</v>
      </c>
      <c r="S106" s="20">
        <v>20601242657</v>
      </c>
      <c r="T106" s="20" t="s">
        <v>33</v>
      </c>
      <c r="U106" s="20" t="s">
        <v>123</v>
      </c>
      <c r="V106" s="20" t="s">
        <v>147</v>
      </c>
      <c r="W106" s="20" t="s">
        <v>31</v>
      </c>
      <c r="X106" s="26" t="s">
        <v>786</v>
      </c>
      <c r="Y106" s="20" t="s">
        <v>672</v>
      </c>
      <c r="Z106" s="20" t="s">
        <v>31</v>
      </c>
      <c r="AA106" s="20" t="s">
        <v>31</v>
      </c>
      <c r="AB106" s="26">
        <v>41</v>
      </c>
      <c r="AC106" s="14" t="s">
        <v>111</v>
      </c>
      <c r="AD106" s="14" t="s">
        <v>27</v>
      </c>
      <c r="AE106" s="14"/>
      <c r="AF106" s="42">
        <v>45134</v>
      </c>
      <c r="AG106" s="42"/>
      <c r="AH106" s="42"/>
      <c r="AI106" s="42"/>
      <c r="AJ106" s="14"/>
      <c r="AK106" s="14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</row>
    <row r="107" spans="1:147" s="1" customFormat="1" hidden="1" x14ac:dyDescent="0.25">
      <c r="A107" s="20">
        <v>22</v>
      </c>
      <c r="B107" s="20" t="s">
        <v>27</v>
      </c>
      <c r="C107" s="20" t="s">
        <v>512</v>
      </c>
      <c r="D107" s="20" t="s">
        <v>258</v>
      </c>
      <c r="E107" s="20"/>
      <c r="F107" s="20" t="s">
        <v>28</v>
      </c>
      <c r="G107" s="20">
        <v>71758380</v>
      </c>
      <c r="H107" s="20" t="s">
        <v>205</v>
      </c>
      <c r="I107" s="20" t="s">
        <v>206</v>
      </c>
      <c r="J107" s="20" t="s">
        <v>204</v>
      </c>
      <c r="K107" s="22" t="str">
        <f t="shared" ref="K107:K109" si="6">CONCATENATE(H107," ",I107," ",J107)</f>
        <v>VILCA  CONDOR INELSON</v>
      </c>
      <c r="L107" s="20" t="s">
        <v>29</v>
      </c>
      <c r="M107" s="52">
        <v>36525</v>
      </c>
      <c r="N107" s="20">
        <v>935254843</v>
      </c>
      <c r="O107" s="24" t="s">
        <v>232</v>
      </c>
      <c r="P107" s="20" t="s">
        <v>30</v>
      </c>
      <c r="Q107" s="20" t="s">
        <v>27</v>
      </c>
      <c r="R107" s="25" t="s">
        <v>32</v>
      </c>
      <c r="S107" s="20">
        <v>20601242657</v>
      </c>
      <c r="T107" s="20" t="s">
        <v>33</v>
      </c>
      <c r="U107" s="20" t="s">
        <v>123</v>
      </c>
      <c r="V107" s="20" t="s">
        <v>109</v>
      </c>
      <c r="W107" s="20" t="s">
        <v>31</v>
      </c>
      <c r="X107" s="20" t="s">
        <v>212</v>
      </c>
      <c r="Y107" s="20" t="s">
        <v>31</v>
      </c>
      <c r="Z107" s="20" t="s">
        <v>31</v>
      </c>
      <c r="AA107" s="20" t="s">
        <v>31</v>
      </c>
      <c r="AB107" s="26">
        <v>22</v>
      </c>
      <c r="AC107" s="14" t="s">
        <v>111</v>
      </c>
      <c r="AD107" s="14" t="s">
        <v>27</v>
      </c>
      <c r="AE107" s="14"/>
      <c r="AF107" s="42">
        <v>44301</v>
      </c>
      <c r="AG107" s="42"/>
      <c r="AH107" s="42"/>
      <c r="AI107" s="42"/>
      <c r="AJ107" s="42">
        <v>45157</v>
      </c>
      <c r="AK107" s="14"/>
    </row>
    <row r="108" spans="1:147" s="1" customFormat="1" hidden="1" x14ac:dyDescent="0.25">
      <c r="A108" s="20">
        <v>4</v>
      </c>
      <c r="B108" s="20" t="s">
        <v>27</v>
      </c>
      <c r="C108" s="20" t="s">
        <v>512</v>
      </c>
      <c r="D108" s="20" t="s">
        <v>222</v>
      </c>
      <c r="E108" s="20"/>
      <c r="F108" s="20" t="s">
        <v>28</v>
      </c>
      <c r="G108" s="20">
        <v>76781703</v>
      </c>
      <c r="H108" s="20" t="s">
        <v>69</v>
      </c>
      <c r="I108" s="20" t="s">
        <v>70</v>
      </c>
      <c r="J108" s="20" t="s">
        <v>71</v>
      </c>
      <c r="K108" s="22" t="str">
        <f t="shared" si="6"/>
        <v>CHILON FLORES INMER</v>
      </c>
      <c r="L108" s="20" t="s">
        <v>29</v>
      </c>
      <c r="M108" s="21">
        <v>35805</v>
      </c>
      <c r="N108" s="20">
        <v>947412308</v>
      </c>
      <c r="O108" s="24" t="s">
        <v>232</v>
      </c>
      <c r="P108" s="20" t="s">
        <v>30</v>
      </c>
      <c r="Q108" s="20" t="s">
        <v>27</v>
      </c>
      <c r="R108" s="25" t="s">
        <v>32</v>
      </c>
      <c r="S108" s="20">
        <v>20601242658</v>
      </c>
      <c r="T108" s="20" t="s">
        <v>33</v>
      </c>
      <c r="U108" s="20" t="s">
        <v>123</v>
      </c>
      <c r="V108" s="20" t="s">
        <v>109</v>
      </c>
      <c r="W108" s="20" t="s">
        <v>31</v>
      </c>
      <c r="X108" s="26" t="s">
        <v>324</v>
      </c>
      <c r="Y108" s="26" t="s">
        <v>31</v>
      </c>
      <c r="Z108" s="26" t="s">
        <v>31</v>
      </c>
      <c r="AA108" s="26" t="s">
        <v>31</v>
      </c>
      <c r="AB108" s="26">
        <v>23</v>
      </c>
      <c r="AC108" s="14" t="s">
        <v>111</v>
      </c>
      <c r="AD108" s="14" t="s">
        <v>27</v>
      </c>
      <c r="AE108" s="14"/>
      <c r="AF108" s="42">
        <v>44288</v>
      </c>
      <c r="AG108" s="42"/>
      <c r="AH108" s="42"/>
      <c r="AI108" s="42"/>
      <c r="AJ108" s="42">
        <v>45142</v>
      </c>
      <c r="AK108" s="14"/>
    </row>
    <row r="109" spans="1:147" s="1" customFormat="1" hidden="1" x14ac:dyDescent="0.25">
      <c r="A109" s="20">
        <v>6</v>
      </c>
      <c r="B109" s="20" t="s">
        <v>27</v>
      </c>
      <c r="C109" s="20" t="s">
        <v>512</v>
      </c>
      <c r="D109" s="20" t="s">
        <v>164</v>
      </c>
      <c r="E109" s="20"/>
      <c r="F109" s="20" t="s">
        <v>28</v>
      </c>
      <c r="G109" s="20">
        <v>42160996</v>
      </c>
      <c r="H109" s="20" t="s">
        <v>133</v>
      </c>
      <c r="I109" s="20" t="s">
        <v>55</v>
      </c>
      <c r="J109" s="20" t="s">
        <v>134</v>
      </c>
      <c r="K109" s="22" t="str">
        <f t="shared" si="6"/>
        <v>TUCTO HUAMAN ALFREDO</v>
      </c>
      <c r="L109" s="20" t="s">
        <v>29</v>
      </c>
      <c r="M109" s="21">
        <v>30649</v>
      </c>
      <c r="N109" s="20">
        <v>914916226</v>
      </c>
      <c r="O109" s="24" t="s">
        <v>232</v>
      </c>
      <c r="P109" s="20" t="s">
        <v>30</v>
      </c>
      <c r="Q109" s="20" t="s">
        <v>27</v>
      </c>
      <c r="R109" s="25" t="s">
        <v>32</v>
      </c>
      <c r="S109" s="20">
        <v>20601242662</v>
      </c>
      <c r="T109" s="20" t="s">
        <v>33</v>
      </c>
      <c r="U109" s="20" t="s">
        <v>123</v>
      </c>
      <c r="V109" s="20" t="s">
        <v>109</v>
      </c>
      <c r="W109" s="20" t="s">
        <v>31</v>
      </c>
      <c r="X109" s="26" t="s">
        <v>145</v>
      </c>
      <c r="Y109" s="26" t="s">
        <v>31</v>
      </c>
      <c r="Z109" s="26" t="s">
        <v>31</v>
      </c>
      <c r="AA109" s="26" t="s">
        <v>31</v>
      </c>
      <c r="AB109" s="26">
        <v>38</v>
      </c>
      <c r="AC109" s="14" t="s">
        <v>111</v>
      </c>
      <c r="AD109" s="14" t="s">
        <v>27</v>
      </c>
      <c r="AE109" s="14"/>
      <c r="AF109" s="42">
        <v>44266</v>
      </c>
      <c r="AG109" s="42"/>
      <c r="AH109" s="42"/>
      <c r="AI109" s="42"/>
      <c r="AJ109" s="42">
        <v>45161</v>
      </c>
      <c r="AK109" s="14"/>
    </row>
    <row r="110" spans="1:147" s="41" customFormat="1" hidden="1" x14ac:dyDescent="0.25">
      <c r="A110" s="20">
        <v>123</v>
      </c>
      <c r="B110" s="20" t="s">
        <v>27</v>
      </c>
      <c r="C110" s="20" t="s">
        <v>512</v>
      </c>
      <c r="D110" s="20" t="s">
        <v>704</v>
      </c>
      <c r="E110" s="20"/>
      <c r="F110" s="20" t="s">
        <v>28</v>
      </c>
      <c r="G110" s="20">
        <v>10637465</v>
      </c>
      <c r="H110" s="20" t="s">
        <v>694</v>
      </c>
      <c r="I110" s="20" t="s">
        <v>695</v>
      </c>
      <c r="J110" s="20" t="s">
        <v>696</v>
      </c>
      <c r="K110" s="26" t="s">
        <v>697</v>
      </c>
      <c r="L110" s="20" t="s">
        <v>29</v>
      </c>
      <c r="M110" s="52">
        <v>28605</v>
      </c>
      <c r="N110" s="20">
        <v>997851756</v>
      </c>
      <c r="O110" s="24" t="s">
        <v>232</v>
      </c>
      <c r="P110" s="20" t="s">
        <v>30</v>
      </c>
      <c r="Q110" s="20" t="s">
        <v>27</v>
      </c>
      <c r="R110" s="31" t="s">
        <v>32</v>
      </c>
      <c r="S110" s="20">
        <v>20601242657</v>
      </c>
      <c r="T110" s="20" t="s">
        <v>33</v>
      </c>
      <c r="U110" s="20" t="s">
        <v>123</v>
      </c>
      <c r="V110" s="20" t="s">
        <v>407</v>
      </c>
      <c r="W110" s="20" t="s">
        <v>37</v>
      </c>
      <c r="X110" s="20" t="s">
        <v>698</v>
      </c>
      <c r="Y110" s="20" t="s">
        <v>699</v>
      </c>
      <c r="Z110" s="20" t="s">
        <v>37</v>
      </c>
      <c r="AA110" s="20" t="s">
        <v>37</v>
      </c>
      <c r="AB110" s="26">
        <v>45</v>
      </c>
      <c r="AC110" s="14" t="s">
        <v>111</v>
      </c>
      <c r="AD110" s="14" t="s">
        <v>27</v>
      </c>
      <c r="AE110" s="14"/>
      <c r="AF110" s="42">
        <v>44965</v>
      </c>
      <c r="AG110" s="42"/>
      <c r="AH110" s="42"/>
      <c r="AI110" s="42"/>
      <c r="AJ110" s="42">
        <v>45137</v>
      </c>
      <c r="AK110" s="14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</row>
    <row r="111" spans="1:147" s="41" customFormat="1" hidden="1" x14ac:dyDescent="0.25">
      <c r="A111" s="20">
        <v>98</v>
      </c>
      <c r="B111" s="20" t="s">
        <v>27</v>
      </c>
      <c r="C111" s="20" t="s">
        <v>512</v>
      </c>
      <c r="D111" s="20" t="s">
        <v>567</v>
      </c>
      <c r="E111" s="20"/>
      <c r="F111" s="20" t="s">
        <v>28</v>
      </c>
      <c r="G111" s="20">
        <v>80610247</v>
      </c>
      <c r="H111" s="20" t="s">
        <v>568</v>
      </c>
      <c r="I111" s="20" t="s">
        <v>82</v>
      </c>
      <c r="J111" s="20" t="s">
        <v>83</v>
      </c>
      <c r="K111" s="26" t="s">
        <v>569</v>
      </c>
      <c r="L111" s="20" t="s">
        <v>29</v>
      </c>
      <c r="M111" s="52" t="s">
        <v>570</v>
      </c>
      <c r="N111" s="20">
        <v>994997969</v>
      </c>
      <c r="O111" s="24" t="s">
        <v>232</v>
      </c>
      <c r="P111" s="20" t="s">
        <v>30</v>
      </c>
      <c r="Q111" s="20" t="s">
        <v>27</v>
      </c>
      <c r="R111" s="31" t="s">
        <v>32</v>
      </c>
      <c r="S111" s="20">
        <v>20601242657</v>
      </c>
      <c r="T111" s="20" t="s">
        <v>33</v>
      </c>
      <c r="U111" s="20" t="s">
        <v>123</v>
      </c>
      <c r="V111" s="20" t="s">
        <v>352</v>
      </c>
      <c r="W111" s="20" t="s">
        <v>31</v>
      </c>
      <c r="X111" s="20" t="s">
        <v>145</v>
      </c>
      <c r="Y111" s="20" t="s">
        <v>31</v>
      </c>
      <c r="Z111" s="20" t="s">
        <v>31</v>
      </c>
      <c r="AA111" s="20" t="s">
        <v>31</v>
      </c>
      <c r="AB111" s="26">
        <v>43</v>
      </c>
      <c r="AC111" s="14" t="s">
        <v>111</v>
      </c>
      <c r="AD111" s="14" t="s">
        <v>27</v>
      </c>
      <c r="AE111" s="14"/>
      <c r="AF111" s="42">
        <v>44762</v>
      </c>
      <c r="AG111" s="42"/>
      <c r="AH111" s="42"/>
      <c r="AI111" s="42"/>
      <c r="AJ111" s="42">
        <v>45188</v>
      </c>
      <c r="AK111" s="14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</row>
    <row r="112" spans="1:147" s="41" customFormat="1" hidden="1" x14ac:dyDescent="0.25">
      <c r="A112" s="20">
        <v>122</v>
      </c>
      <c r="B112" s="20" t="s">
        <v>27</v>
      </c>
      <c r="C112" s="20" t="s">
        <v>512</v>
      </c>
      <c r="D112" s="20" t="s">
        <v>700</v>
      </c>
      <c r="E112" s="20"/>
      <c r="F112" s="20" t="s">
        <v>28</v>
      </c>
      <c r="G112" s="20">
        <v>74994041</v>
      </c>
      <c r="H112" s="20" t="s">
        <v>688</v>
      </c>
      <c r="I112" s="20" t="s">
        <v>94</v>
      </c>
      <c r="J112" s="20" t="s">
        <v>689</v>
      </c>
      <c r="K112" s="26" t="s">
        <v>690</v>
      </c>
      <c r="L112" s="20" t="s">
        <v>29</v>
      </c>
      <c r="M112" s="52" t="s">
        <v>691</v>
      </c>
      <c r="N112" s="20">
        <v>944038310</v>
      </c>
      <c r="O112" s="24" t="s">
        <v>232</v>
      </c>
      <c r="P112" s="20" t="s">
        <v>30</v>
      </c>
      <c r="Q112" s="20" t="s">
        <v>27</v>
      </c>
      <c r="R112" s="31" t="s">
        <v>32</v>
      </c>
      <c r="S112" s="20">
        <v>20601242657</v>
      </c>
      <c r="T112" s="20" t="s">
        <v>33</v>
      </c>
      <c r="U112" s="20" t="s">
        <v>123</v>
      </c>
      <c r="V112" s="20" t="s">
        <v>147</v>
      </c>
      <c r="W112" s="20" t="s">
        <v>31</v>
      </c>
      <c r="X112" s="20" t="s">
        <v>692</v>
      </c>
      <c r="Y112" s="20" t="s">
        <v>509</v>
      </c>
      <c r="Z112" s="20" t="s">
        <v>693</v>
      </c>
      <c r="AA112" s="20" t="s">
        <v>31</v>
      </c>
      <c r="AB112" s="26">
        <v>25</v>
      </c>
      <c r="AC112" s="14" t="s">
        <v>111</v>
      </c>
      <c r="AD112" s="14" t="s">
        <v>27</v>
      </c>
      <c r="AE112" s="14"/>
      <c r="AF112" s="50">
        <v>44951</v>
      </c>
      <c r="AG112" s="50"/>
      <c r="AH112" s="50"/>
      <c r="AI112" s="50"/>
      <c r="AJ112" s="42">
        <v>45189</v>
      </c>
      <c r="AK112" s="14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</row>
    <row r="113" spans="1:147" s="41" customFormat="1" hidden="1" x14ac:dyDescent="0.25">
      <c r="A113" s="20">
        <v>129</v>
      </c>
      <c r="B113" s="20" t="s">
        <v>27</v>
      </c>
      <c r="C113" s="20" t="s">
        <v>512</v>
      </c>
      <c r="D113" s="20" t="s">
        <v>744</v>
      </c>
      <c r="E113" s="20"/>
      <c r="F113" s="20" t="s">
        <v>28</v>
      </c>
      <c r="G113" s="20">
        <v>26727402</v>
      </c>
      <c r="H113" s="20" t="s">
        <v>728</v>
      </c>
      <c r="I113" s="20" t="s">
        <v>344</v>
      </c>
      <c r="J113" s="20" t="s">
        <v>729</v>
      </c>
      <c r="K113" s="26" t="s">
        <v>739</v>
      </c>
      <c r="L113" s="20" t="s">
        <v>29</v>
      </c>
      <c r="M113" s="21">
        <v>27957</v>
      </c>
      <c r="N113" s="20">
        <v>997675841</v>
      </c>
      <c r="O113" s="24" t="s">
        <v>232</v>
      </c>
      <c r="P113" s="20" t="s">
        <v>30</v>
      </c>
      <c r="Q113" s="20" t="s">
        <v>27</v>
      </c>
      <c r="R113" s="31" t="s">
        <v>32</v>
      </c>
      <c r="S113" s="20">
        <v>20601242657</v>
      </c>
      <c r="T113" s="20" t="s">
        <v>33</v>
      </c>
      <c r="U113" s="20" t="s">
        <v>123</v>
      </c>
      <c r="V113" s="20" t="s">
        <v>147</v>
      </c>
      <c r="W113" s="20" t="s">
        <v>31</v>
      </c>
      <c r="X113" s="26" t="s">
        <v>730</v>
      </c>
      <c r="Y113" s="20" t="s">
        <v>693</v>
      </c>
      <c r="Z113" s="20" t="s">
        <v>31</v>
      </c>
      <c r="AA113" s="20" t="s">
        <v>31</v>
      </c>
      <c r="AB113" s="26">
        <v>47</v>
      </c>
      <c r="AC113" s="14" t="s">
        <v>111</v>
      </c>
      <c r="AD113" s="14" t="s">
        <v>27</v>
      </c>
      <c r="AE113" s="14"/>
      <c r="AF113" s="50">
        <v>45007</v>
      </c>
      <c r="AG113" s="50"/>
      <c r="AH113" s="50"/>
      <c r="AI113" s="50"/>
      <c r="AJ113" s="42">
        <v>45131</v>
      </c>
      <c r="AK113" s="14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</row>
    <row r="114" spans="1:147" s="41" customFormat="1" hidden="1" x14ac:dyDescent="0.25">
      <c r="A114" s="20">
        <v>139</v>
      </c>
      <c r="B114" s="20" t="s">
        <v>27</v>
      </c>
      <c r="C114" s="20" t="s">
        <v>512</v>
      </c>
      <c r="D114" s="20" t="s">
        <v>800</v>
      </c>
      <c r="E114" s="20"/>
      <c r="F114" s="20" t="s">
        <v>28</v>
      </c>
      <c r="G114" s="20">
        <v>71770689</v>
      </c>
      <c r="H114" s="20" t="s">
        <v>793</v>
      </c>
      <c r="I114" s="20" t="s">
        <v>552</v>
      </c>
      <c r="J114" s="20" t="s">
        <v>794</v>
      </c>
      <c r="K114" s="51" t="s">
        <v>795</v>
      </c>
      <c r="L114" s="20" t="s">
        <v>29</v>
      </c>
      <c r="M114" s="21">
        <v>37207</v>
      </c>
      <c r="N114" s="20">
        <v>917411710</v>
      </c>
      <c r="O114" s="24" t="s">
        <v>232</v>
      </c>
      <c r="P114" s="20" t="s">
        <v>30</v>
      </c>
      <c r="Q114" s="20" t="s">
        <v>27</v>
      </c>
      <c r="R114" s="31" t="s">
        <v>32</v>
      </c>
      <c r="S114" s="20">
        <v>20601242657</v>
      </c>
      <c r="T114" s="20" t="s">
        <v>33</v>
      </c>
      <c r="U114" s="20" t="s">
        <v>123</v>
      </c>
      <c r="V114" s="20" t="s">
        <v>147</v>
      </c>
      <c r="W114" s="20" t="s">
        <v>31</v>
      </c>
      <c r="X114" s="26" t="s">
        <v>796</v>
      </c>
      <c r="Y114" s="20" t="s">
        <v>31</v>
      </c>
      <c r="Z114" s="20" t="s">
        <v>31</v>
      </c>
      <c r="AA114" s="20" t="s">
        <v>31</v>
      </c>
      <c r="AB114" s="26">
        <v>22</v>
      </c>
      <c r="AC114" s="14" t="s">
        <v>111</v>
      </c>
      <c r="AD114" s="14" t="s">
        <v>27</v>
      </c>
      <c r="AE114" s="14"/>
      <c r="AF114" s="42">
        <v>45149</v>
      </c>
      <c r="AG114" s="42"/>
      <c r="AH114" s="42"/>
      <c r="AI114" s="42"/>
      <c r="AJ114" s="42">
        <v>45202</v>
      </c>
      <c r="AK114" s="14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</row>
    <row r="115" spans="1:147" s="41" customFormat="1" hidden="1" x14ac:dyDescent="0.25">
      <c r="A115" s="19">
        <v>135</v>
      </c>
      <c r="B115" s="19" t="s">
        <v>27</v>
      </c>
      <c r="C115" s="19" t="s">
        <v>512</v>
      </c>
      <c r="D115" s="19" t="s">
        <v>781</v>
      </c>
      <c r="E115" s="19"/>
      <c r="F115" s="19" t="s">
        <v>28</v>
      </c>
      <c r="G115" s="19">
        <v>75235118</v>
      </c>
      <c r="H115" s="19" t="s">
        <v>770</v>
      </c>
      <c r="I115" s="19" t="s">
        <v>771</v>
      </c>
      <c r="J115" s="19" t="s">
        <v>772</v>
      </c>
      <c r="K115" s="26" t="s">
        <v>773</v>
      </c>
      <c r="L115" s="19" t="s">
        <v>29</v>
      </c>
      <c r="M115" s="44">
        <v>36839</v>
      </c>
      <c r="N115" s="19">
        <v>956319687</v>
      </c>
      <c r="O115" s="24" t="s">
        <v>232</v>
      </c>
      <c r="P115" s="19" t="s">
        <v>30</v>
      </c>
      <c r="Q115" s="19" t="s">
        <v>27</v>
      </c>
      <c r="R115" s="18" t="s">
        <v>32</v>
      </c>
      <c r="S115" s="19">
        <v>20601242657</v>
      </c>
      <c r="T115" s="19" t="s">
        <v>33</v>
      </c>
      <c r="U115" s="12" t="s">
        <v>123</v>
      </c>
      <c r="V115" s="19" t="s">
        <v>147</v>
      </c>
      <c r="W115" s="19" t="s">
        <v>333</v>
      </c>
      <c r="X115" s="40" t="s">
        <v>774</v>
      </c>
      <c r="Y115" s="19" t="s">
        <v>775</v>
      </c>
      <c r="Z115" s="19" t="s">
        <v>521</v>
      </c>
      <c r="AA115" s="19" t="s">
        <v>333</v>
      </c>
      <c r="AB115" s="13">
        <v>23</v>
      </c>
      <c r="AC115" s="14" t="s">
        <v>34</v>
      </c>
      <c r="AD115" s="14" t="s">
        <v>27</v>
      </c>
      <c r="AE115" s="14"/>
      <c r="AF115" s="42">
        <v>45125</v>
      </c>
      <c r="AG115" s="42"/>
      <c r="AH115" s="42"/>
      <c r="AI115" s="42"/>
      <c r="AJ115" s="42">
        <v>45209</v>
      </c>
      <c r="AK115" s="14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</row>
    <row r="116" spans="1:147" s="1" customFormat="1" hidden="1" x14ac:dyDescent="0.25">
      <c r="A116" s="19">
        <v>96</v>
      </c>
      <c r="B116" s="19" t="s">
        <v>27</v>
      </c>
      <c r="C116" s="19" t="s">
        <v>512</v>
      </c>
      <c r="D116" s="19" t="s">
        <v>565</v>
      </c>
      <c r="E116" s="19"/>
      <c r="F116" s="19" t="s">
        <v>28</v>
      </c>
      <c r="G116" s="19">
        <v>41420730</v>
      </c>
      <c r="H116" s="19" t="s">
        <v>107</v>
      </c>
      <c r="I116" s="19" t="s">
        <v>51</v>
      </c>
      <c r="J116" s="19" t="s">
        <v>387</v>
      </c>
      <c r="K116" s="47" t="str">
        <f t="shared" ref="K116:K123" si="7">CONCATENATE(H116," ",I116," ",J116)</f>
        <v>CUEVA  CASTREJON ALEJANDRO</v>
      </c>
      <c r="L116" s="19" t="s">
        <v>29</v>
      </c>
      <c r="M116" s="49">
        <v>29994</v>
      </c>
      <c r="N116" s="19">
        <v>993212659</v>
      </c>
      <c r="O116" s="24" t="s">
        <v>232</v>
      </c>
      <c r="P116" s="19" t="s">
        <v>30</v>
      </c>
      <c r="Q116" s="19" t="s">
        <v>27</v>
      </c>
      <c r="R116" s="18" t="s">
        <v>32</v>
      </c>
      <c r="S116" s="19">
        <v>20601242657</v>
      </c>
      <c r="T116" s="19" t="s">
        <v>33</v>
      </c>
      <c r="U116" s="12" t="s">
        <v>123</v>
      </c>
      <c r="V116" s="19" t="s">
        <v>147</v>
      </c>
      <c r="W116" s="19" t="s">
        <v>31</v>
      </c>
      <c r="X116" s="19" t="s">
        <v>559</v>
      </c>
      <c r="Y116" s="19" t="s">
        <v>31</v>
      </c>
      <c r="Z116" s="19" t="s">
        <v>31</v>
      </c>
      <c r="AA116" s="19" t="s">
        <v>31</v>
      </c>
      <c r="AB116" s="13">
        <v>40</v>
      </c>
      <c r="AC116" s="14" t="s">
        <v>111</v>
      </c>
      <c r="AD116" s="14" t="s">
        <v>27</v>
      </c>
      <c r="AE116" s="14"/>
      <c r="AF116" s="42">
        <v>44734</v>
      </c>
      <c r="AG116" s="42"/>
      <c r="AH116" s="42"/>
      <c r="AI116" s="42"/>
      <c r="AJ116" s="14"/>
      <c r="AK116" s="14"/>
    </row>
    <row r="117" spans="1:147" s="1" customFormat="1" hidden="1" x14ac:dyDescent="0.25">
      <c r="A117" s="19">
        <v>127</v>
      </c>
      <c r="B117" s="19" t="s">
        <v>27</v>
      </c>
      <c r="C117" s="19" t="s">
        <v>512</v>
      </c>
      <c r="D117" s="19" t="s">
        <v>741</v>
      </c>
      <c r="E117" s="19"/>
      <c r="F117" s="19" t="s">
        <v>28</v>
      </c>
      <c r="G117" s="19">
        <v>44425798</v>
      </c>
      <c r="H117" s="19" t="s">
        <v>722</v>
      </c>
      <c r="I117" s="19" t="s">
        <v>344</v>
      </c>
      <c r="J117" s="19" t="s">
        <v>445</v>
      </c>
      <c r="K117" s="47" t="str">
        <f t="shared" si="7"/>
        <v>TANTA  DE LA CRUZ SANTOS</v>
      </c>
      <c r="L117" s="19" t="s">
        <v>29</v>
      </c>
      <c r="M117" s="44">
        <v>32007</v>
      </c>
      <c r="N117" s="19">
        <v>973641892</v>
      </c>
      <c r="O117" s="24" t="s">
        <v>232</v>
      </c>
      <c r="P117" s="19" t="s">
        <v>30</v>
      </c>
      <c r="Q117" s="19" t="s">
        <v>27</v>
      </c>
      <c r="R117" s="18" t="s">
        <v>32</v>
      </c>
      <c r="S117" s="19">
        <v>20601242657</v>
      </c>
      <c r="T117" s="19" t="s">
        <v>33</v>
      </c>
      <c r="U117" s="12" t="s">
        <v>123</v>
      </c>
      <c r="V117" s="19" t="s">
        <v>147</v>
      </c>
      <c r="W117" s="19" t="s">
        <v>31</v>
      </c>
      <c r="X117" s="40" t="s">
        <v>723</v>
      </c>
      <c r="Y117" s="19" t="s">
        <v>31</v>
      </c>
      <c r="Z117" s="19" t="s">
        <v>31</v>
      </c>
      <c r="AA117" s="19" t="s">
        <v>31</v>
      </c>
      <c r="AB117" s="13">
        <v>36</v>
      </c>
      <c r="AC117" s="14" t="s">
        <v>111</v>
      </c>
      <c r="AD117" s="14" t="s">
        <v>27</v>
      </c>
      <c r="AE117" s="14"/>
      <c r="AF117" s="50">
        <v>45007</v>
      </c>
      <c r="AG117" s="50"/>
      <c r="AH117" s="50"/>
      <c r="AI117" s="50"/>
      <c r="AJ117" s="14"/>
      <c r="AK117" s="14"/>
    </row>
    <row r="118" spans="1:147" s="1" customFormat="1" hidden="1" x14ac:dyDescent="0.25">
      <c r="A118" s="19">
        <v>132</v>
      </c>
      <c r="B118" s="19" t="s">
        <v>27</v>
      </c>
      <c r="C118" s="19" t="s">
        <v>512</v>
      </c>
      <c r="D118" s="19" t="s">
        <v>750</v>
      </c>
      <c r="E118" s="19"/>
      <c r="F118" s="19" t="s">
        <v>28</v>
      </c>
      <c r="G118" s="19">
        <v>75989681</v>
      </c>
      <c r="H118" s="19" t="s">
        <v>606</v>
      </c>
      <c r="I118" s="19" t="s">
        <v>189</v>
      </c>
      <c r="J118" s="19" t="s">
        <v>746</v>
      </c>
      <c r="K118" s="47" t="str">
        <f t="shared" si="7"/>
        <v>SANGAY  VILCA FRANKLYN PRIESTLEYZ</v>
      </c>
      <c r="L118" s="19" t="s">
        <v>29</v>
      </c>
      <c r="M118" s="44">
        <v>35320</v>
      </c>
      <c r="N118" s="19">
        <v>942712707</v>
      </c>
      <c r="O118" s="24" t="s">
        <v>232</v>
      </c>
      <c r="P118" s="19" t="s">
        <v>30</v>
      </c>
      <c r="Q118" s="19" t="s">
        <v>27</v>
      </c>
      <c r="R118" s="18" t="s">
        <v>32</v>
      </c>
      <c r="S118" s="19">
        <v>20601242657</v>
      </c>
      <c r="T118" s="19" t="s">
        <v>33</v>
      </c>
      <c r="U118" s="12" t="s">
        <v>123</v>
      </c>
      <c r="V118" s="19" t="s">
        <v>147</v>
      </c>
      <c r="W118" s="19" t="s">
        <v>31</v>
      </c>
      <c r="X118" s="40" t="s">
        <v>752</v>
      </c>
      <c r="Y118" s="19" t="s">
        <v>31</v>
      </c>
      <c r="Z118" s="19" t="s">
        <v>31</v>
      </c>
      <c r="AA118" s="19" t="s">
        <v>31</v>
      </c>
      <c r="AB118" s="13">
        <v>26</v>
      </c>
      <c r="AC118" s="14" t="s">
        <v>111</v>
      </c>
      <c r="AD118" s="14" t="s">
        <v>27</v>
      </c>
      <c r="AE118" s="14"/>
      <c r="AF118" s="50">
        <v>45035</v>
      </c>
      <c r="AG118" s="50"/>
      <c r="AH118" s="50"/>
      <c r="AI118" s="50"/>
      <c r="AJ118" s="14"/>
      <c r="AK118" s="14"/>
    </row>
    <row r="119" spans="1:147" s="1" customFormat="1" hidden="1" x14ac:dyDescent="0.25">
      <c r="A119" s="19">
        <v>138</v>
      </c>
      <c r="B119" s="19" t="s">
        <v>27</v>
      </c>
      <c r="C119" s="19" t="s">
        <v>512</v>
      </c>
      <c r="D119" s="19" t="s">
        <v>803</v>
      </c>
      <c r="E119" s="19"/>
      <c r="F119" s="19" t="s">
        <v>28</v>
      </c>
      <c r="G119" s="19">
        <v>49937203</v>
      </c>
      <c r="H119" s="19" t="s">
        <v>107</v>
      </c>
      <c r="I119" s="19" t="s">
        <v>35</v>
      </c>
      <c r="J119" s="19" t="s">
        <v>791</v>
      </c>
      <c r="K119" s="47" t="str">
        <f t="shared" si="7"/>
        <v>CUEVA  CUEVA ALBERTO</v>
      </c>
      <c r="L119" s="19" t="s">
        <v>29</v>
      </c>
      <c r="M119" s="44">
        <v>29905</v>
      </c>
      <c r="N119" s="19">
        <v>967110381</v>
      </c>
      <c r="O119" s="24" t="s">
        <v>232</v>
      </c>
      <c r="P119" s="19" t="s">
        <v>30</v>
      </c>
      <c r="Q119" s="19" t="s">
        <v>27</v>
      </c>
      <c r="R119" s="18" t="s">
        <v>32</v>
      </c>
      <c r="S119" s="19">
        <v>20601242657</v>
      </c>
      <c r="T119" s="19" t="s">
        <v>33</v>
      </c>
      <c r="U119" s="12" t="s">
        <v>123</v>
      </c>
      <c r="V119" s="19" t="s">
        <v>147</v>
      </c>
      <c r="W119" s="19" t="s">
        <v>31</v>
      </c>
      <c r="X119" s="40" t="s">
        <v>792</v>
      </c>
      <c r="Y119" s="19" t="s">
        <v>31</v>
      </c>
      <c r="Z119" s="19" t="s">
        <v>31</v>
      </c>
      <c r="AA119" s="19" t="s">
        <v>31</v>
      </c>
      <c r="AB119" s="13">
        <v>42</v>
      </c>
      <c r="AC119" s="14" t="s">
        <v>111</v>
      </c>
      <c r="AD119" s="14" t="s">
        <v>27</v>
      </c>
      <c r="AE119" s="14"/>
      <c r="AF119" s="42">
        <v>45142</v>
      </c>
      <c r="AG119" s="42"/>
      <c r="AH119" s="42"/>
      <c r="AI119" s="42"/>
      <c r="AJ119" s="14"/>
      <c r="AK119" s="14"/>
    </row>
    <row r="120" spans="1:147" s="1" customFormat="1" hidden="1" x14ac:dyDescent="0.25">
      <c r="A120" s="19">
        <v>146</v>
      </c>
      <c r="B120" s="19" t="s">
        <v>27</v>
      </c>
      <c r="C120" s="19" t="s">
        <v>512</v>
      </c>
      <c r="D120" s="19" t="s">
        <v>823</v>
      </c>
      <c r="E120" s="19"/>
      <c r="F120" s="19" t="s">
        <v>28</v>
      </c>
      <c r="G120" s="19">
        <v>46386955</v>
      </c>
      <c r="H120" s="19" t="s">
        <v>816</v>
      </c>
      <c r="I120" s="19" t="s">
        <v>817</v>
      </c>
      <c r="J120" s="19" t="s">
        <v>818</v>
      </c>
      <c r="K120" s="47" t="str">
        <f t="shared" si="7"/>
        <v>HERMENEGILDO  GRADOS CRISTIAN EDUARDO</v>
      </c>
      <c r="L120" s="19" t="s">
        <v>29</v>
      </c>
      <c r="M120" s="44">
        <v>32718</v>
      </c>
      <c r="N120" s="19">
        <v>963384053</v>
      </c>
      <c r="O120" s="24" t="s">
        <v>232</v>
      </c>
      <c r="P120" s="19" t="s">
        <v>30</v>
      </c>
      <c r="Q120" s="19" t="s">
        <v>27</v>
      </c>
      <c r="R120" s="18" t="s">
        <v>32</v>
      </c>
      <c r="S120" s="19">
        <v>20601242657</v>
      </c>
      <c r="T120" s="19" t="s">
        <v>33</v>
      </c>
      <c r="U120" s="12" t="s">
        <v>123</v>
      </c>
      <c r="V120" s="19" t="s">
        <v>147</v>
      </c>
      <c r="W120" s="19" t="s">
        <v>45</v>
      </c>
      <c r="X120" s="40" t="s">
        <v>819</v>
      </c>
      <c r="Y120" s="19" t="s">
        <v>820</v>
      </c>
      <c r="Z120" s="19" t="s">
        <v>821</v>
      </c>
      <c r="AA120" s="19" t="s">
        <v>45</v>
      </c>
      <c r="AB120" s="13">
        <v>34</v>
      </c>
      <c r="AC120" s="14" t="s">
        <v>34</v>
      </c>
      <c r="AD120" s="14" t="s">
        <v>27</v>
      </c>
      <c r="AE120" s="14"/>
      <c r="AF120" s="42">
        <v>45182</v>
      </c>
      <c r="AG120" s="42"/>
      <c r="AH120" s="42"/>
      <c r="AI120" s="42"/>
      <c r="AJ120" s="14"/>
      <c r="AK120" s="14"/>
    </row>
    <row r="121" spans="1:147" s="1" customFormat="1" hidden="1" x14ac:dyDescent="0.25">
      <c r="A121" s="19">
        <v>147</v>
      </c>
      <c r="B121" s="19" t="s">
        <v>27</v>
      </c>
      <c r="C121" s="19" t="s">
        <v>512</v>
      </c>
      <c r="D121" s="19" t="s">
        <v>824</v>
      </c>
      <c r="E121" s="19"/>
      <c r="F121" s="19" t="s">
        <v>28</v>
      </c>
      <c r="G121" s="19">
        <v>49039505</v>
      </c>
      <c r="H121" s="19" t="s">
        <v>831</v>
      </c>
      <c r="I121" s="19" t="s">
        <v>571</v>
      </c>
      <c r="J121" s="19" t="s">
        <v>452</v>
      </c>
      <c r="K121" s="47" t="str">
        <f t="shared" si="7"/>
        <v>PACHAMANGO  RAMIREZ WILMER</v>
      </c>
      <c r="L121" s="19" t="s">
        <v>29</v>
      </c>
      <c r="M121" s="44">
        <v>34972</v>
      </c>
      <c r="N121" s="19"/>
      <c r="O121" s="24" t="s">
        <v>232</v>
      </c>
      <c r="P121" s="19" t="s">
        <v>30</v>
      </c>
      <c r="Q121" s="19" t="s">
        <v>27</v>
      </c>
      <c r="R121" s="18" t="s">
        <v>32</v>
      </c>
      <c r="S121" s="19">
        <v>20601242657</v>
      </c>
      <c r="T121" s="19" t="s">
        <v>33</v>
      </c>
      <c r="U121" s="12" t="s">
        <v>123</v>
      </c>
      <c r="V121" s="12" t="s">
        <v>285</v>
      </c>
      <c r="W121" s="19" t="s">
        <v>31</v>
      </c>
      <c r="X121" s="40" t="s">
        <v>830</v>
      </c>
      <c r="Y121" s="19" t="s">
        <v>672</v>
      </c>
      <c r="Z121" s="19" t="s">
        <v>31</v>
      </c>
      <c r="AA121" s="19" t="s">
        <v>31</v>
      </c>
      <c r="AB121" s="13">
        <v>28</v>
      </c>
      <c r="AC121" s="14" t="s">
        <v>111</v>
      </c>
      <c r="AD121" s="14" t="s">
        <v>27</v>
      </c>
      <c r="AE121" s="14"/>
      <c r="AF121" s="42"/>
      <c r="AG121" s="42"/>
      <c r="AH121" s="42"/>
      <c r="AI121" s="42"/>
      <c r="AJ121" s="14"/>
      <c r="AK121" s="14"/>
    </row>
    <row r="122" spans="1:147" s="1" customFormat="1" hidden="1" x14ac:dyDescent="0.25">
      <c r="A122" s="19">
        <v>148</v>
      </c>
      <c r="B122" s="19" t="s">
        <v>27</v>
      </c>
      <c r="C122" s="19" t="s">
        <v>512</v>
      </c>
      <c r="D122" s="19" t="s">
        <v>825</v>
      </c>
      <c r="E122" s="19"/>
      <c r="F122" s="19" t="s">
        <v>28</v>
      </c>
      <c r="G122" s="19">
        <v>48042676</v>
      </c>
      <c r="H122" s="19" t="s">
        <v>826</v>
      </c>
      <c r="I122" s="19" t="s">
        <v>827</v>
      </c>
      <c r="J122" s="19" t="s">
        <v>828</v>
      </c>
      <c r="K122" s="47" t="str">
        <f t="shared" si="7"/>
        <v>ÑONTOL  HUINGO CARLOS ALBERTO</v>
      </c>
      <c r="L122" s="19" t="s">
        <v>29</v>
      </c>
      <c r="M122" s="44">
        <v>33882</v>
      </c>
      <c r="N122" s="19">
        <v>940103370</v>
      </c>
      <c r="O122" s="24" t="s">
        <v>232</v>
      </c>
      <c r="P122" s="19" t="s">
        <v>30</v>
      </c>
      <c r="Q122" s="19" t="s">
        <v>27</v>
      </c>
      <c r="R122" s="18" t="s">
        <v>32</v>
      </c>
      <c r="S122" s="19">
        <v>20601242657</v>
      </c>
      <c r="T122" s="19" t="s">
        <v>33</v>
      </c>
      <c r="U122" s="12" t="s">
        <v>123</v>
      </c>
      <c r="V122" s="19" t="s">
        <v>147</v>
      </c>
      <c r="W122" s="19" t="s">
        <v>31</v>
      </c>
      <c r="X122" s="40" t="s">
        <v>829</v>
      </c>
      <c r="Y122" s="19" t="s">
        <v>672</v>
      </c>
      <c r="Z122" s="19" t="s">
        <v>31</v>
      </c>
      <c r="AA122" s="19" t="s">
        <v>31</v>
      </c>
      <c r="AB122" s="13">
        <v>31</v>
      </c>
      <c r="AC122" s="14" t="s">
        <v>111</v>
      </c>
      <c r="AD122" s="14" t="s">
        <v>27</v>
      </c>
      <c r="AE122" s="14"/>
      <c r="AF122" s="42"/>
      <c r="AG122" s="42"/>
      <c r="AH122" s="42"/>
      <c r="AI122" s="42"/>
      <c r="AJ122" s="14"/>
      <c r="AK122" s="14"/>
    </row>
    <row r="123" spans="1:147" s="1" customFormat="1" hidden="1" x14ac:dyDescent="0.25">
      <c r="A123" s="19">
        <v>152.28571428571399</v>
      </c>
      <c r="B123" s="19" t="s">
        <v>27</v>
      </c>
      <c r="C123" s="19" t="s">
        <v>512</v>
      </c>
      <c r="D123" s="19"/>
      <c r="E123" s="19"/>
      <c r="F123" s="19" t="s">
        <v>28</v>
      </c>
      <c r="G123" s="19">
        <v>74230572</v>
      </c>
      <c r="H123" s="19" t="s">
        <v>552</v>
      </c>
      <c r="I123" s="19" t="s">
        <v>846</v>
      </c>
      <c r="J123" s="19" t="s">
        <v>847</v>
      </c>
      <c r="K123" s="47" t="str">
        <f t="shared" si="7"/>
        <v>HUAMAN  GUTIERREZ RONAL GILSER</v>
      </c>
      <c r="L123" s="19" t="s">
        <v>29</v>
      </c>
      <c r="M123" s="44">
        <v>37127</v>
      </c>
      <c r="N123" s="19"/>
      <c r="O123" s="24" t="s">
        <v>232</v>
      </c>
      <c r="P123" s="19" t="s">
        <v>30</v>
      </c>
      <c r="Q123" s="19" t="s">
        <v>27</v>
      </c>
      <c r="R123" s="18" t="s">
        <v>32</v>
      </c>
      <c r="S123" s="19">
        <v>20601242657</v>
      </c>
      <c r="T123" s="19" t="s">
        <v>33</v>
      </c>
      <c r="U123" s="12" t="s">
        <v>123</v>
      </c>
      <c r="V123" s="19"/>
      <c r="W123" s="19"/>
      <c r="X123" s="40"/>
      <c r="Y123" s="19"/>
      <c r="Z123" s="19"/>
      <c r="AA123" s="19"/>
      <c r="AB123" s="13"/>
      <c r="AC123" s="14"/>
      <c r="AD123" s="14"/>
      <c r="AE123" s="14"/>
      <c r="AF123" s="42"/>
      <c r="AG123" s="42"/>
      <c r="AH123" s="42"/>
      <c r="AI123" s="42"/>
      <c r="AJ123" s="14"/>
      <c r="AK123" s="14"/>
    </row>
    <row r="124" spans="1:147" s="41" customFormat="1" hidden="1" x14ac:dyDescent="0.25">
      <c r="A124" s="19">
        <v>155.607142857143</v>
      </c>
      <c r="B124" s="19" t="s">
        <v>27</v>
      </c>
      <c r="C124" s="19" t="s">
        <v>512</v>
      </c>
      <c r="D124" s="19"/>
      <c r="E124" s="19"/>
      <c r="F124" s="19" t="s">
        <v>28</v>
      </c>
      <c r="G124" s="19">
        <v>75076506</v>
      </c>
      <c r="H124" s="19" t="s">
        <v>846</v>
      </c>
      <c r="I124" s="19" t="s">
        <v>851</v>
      </c>
      <c r="J124" s="19" t="s">
        <v>852</v>
      </c>
      <c r="K124" s="47" t="s">
        <v>861</v>
      </c>
      <c r="L124" s="19" t="s">
        <v>29</v>
      </c>
      <c r="M124" s="44">
        <v>35093</v>
      </c>
      <c r="N124" s="19"/>
      <c r="O124" s="24" t="s">
        <v>232</v>
      </c>
      <c r="P124" s="19" t="s">
        <v>30</v>
      </c>
      <c r="Q124" s="19" t="s">
        <v>27</v>
      </c>
      <c r="R124" s="18" t="s">
        <v>32</v>
      </c>
      <c r="S124" s="19">
        <v>20601242657</v>
      </c>
      <c r="T124" s="19" t="s">
        <v>33</v>
      </c>
      <c r="U124" s="12" t="s">
        <v>123</v>
      </c>
      <c r="V124" s="19"/>
      <c r="W124" s="19"/>
      <c r="X124" s="40"/>
      <c r="Y124" s="19"/>
      <c r="Z124" s="19"/>
      <c r="AA124" s="19"/>
      <c r="AB124" s="13"/>
      <c r="AC124" s="14"/>
      <c r="AD124" s="14"/>
      <c r="AE124" s="14"/>
      <c r="AF124" s="42"/>
      <c r="AG124" s="42"/>
      <c r="AH124" s="42"/>
      <c r="AI124" s="42"/>
      <c r="AJ124" s="14"/>
      <c r="AK124" s="14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</row>
    <row r="125" spans="1:147" s="41" customFormat="1" hidden="1" x14ac:dyDescent="0.25">
      <c r="A125" s="19">
        <v>157.82142857142901</v>
      </c>
      <c r="B125" s="19" t="s">
        <v>27</v>
      </c>
      <c r="C125" s="19" t="s">
        <v>512</v>
      </c>
      <c r="D125" s="19"/>
      <c r="E125" s="19"/>
      <c r="F125" s="19" t="s">
        <v>28</v>
      </c>
      <c r="G125" s="19">
        <v>74082085</v>
      </c>
      <c r="H125" s="19" t="s">
        <v>855</v>
      </c>
      <c r="I125" s="19" t="s">
        <v>856</v>
      </c>
      <c r="J125" s="19" t="s">
        <v>607</v>
      </c>
      <c r="K125" s="47" t="s">
        <v>862</v>
      </c>
      <c r="L125" s="19" t="s">
        <v>29</v>
      </c>
      <c r="M125" s="44">
        <v>35831</v>
      </c>
      <c r="N125" s="19"/>
      <c r="O125" s="24" t="s">
        <v>232</v>
      </c>
      <c r="P125" s="19" t="s">
        <v>30</v>
      </c>
      <c r="Q125" s="19" t="s">
        <v>27</v>
      </c>
      <c r="R125" s="18" t="s">
        <v>32</v>
      </c>
      <c r="S125" s="19">
        <v>20601242657</v>
      </c>
      <c r="T125" s="19" t="s">
        <v>33</v>
      </c>
      <c r="U125" s="12" t="s">
        <v>123</v>
      </c>
      <c r="V125" s="19"/>
      <c r="W125" s="19"/>
      <c r="X125" s="40"/>
      <c r="Y125" s="19"/>
      <c r="Z125" s="19"/>
      <c r="AA125" s="19"/>
      <c r="AB125" s="13"/>
      <c r="AC125" s="14"/>
      <c r="AD125" s="14"/>
      <c r="AE125" s="14"/>
      <c r="AF125" s="42"/>
      <c r="AG125" s="42"/>
      <c r="AH125" s="42"/>
      <c r="AI125" s="42"/>
      <c r="AJ125" s="14"/>
      <c r="AK125" s="14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</row>
    <row r="126" spans="1:147" s="1" customFormat="1" hidden="1" x14ac:dyDescent="0.25">
      <c r="A126" s="19">
        <v>120</v>
      </c>
      <c r="B126" s="19" t="s">
        <v>27</v>
      </c>
      <c r="C126" s="19" t="s">
        <v>512</v>
      </c>
      <c r="D126" s="19" t="s">
        <v>702</v>
      </c>
      <c r="E126" s="19"/>
      <c r="F126" s="19" t="s">
        <v>28</v>
      </c>
      <c r="G126" s="19">
        <v>74230580</v>
      </c>
      <c r="H126" s="19" t="s">
        <v>552</v>
      </c>
      <c r="I126" s="19" t="s">
        <v>571</v>
      </c>
      <c r="J126" s="19" t="s">
        <v>678</v>
      </c>
      <c r="K126" s="47" t="str">
        <f>CONCATENATE(H126," ",I126," ",J126)</f>
        <v>HUAMAN  RAMIREZ JHONATAN ALEXANDER</v>
      </c>
      <c r="L126" s="19" t="s">
        <v>29</v>
      </c>
      <c r="M126" s="49">
        <v>37427</v>
      </c>
      <c r="N126" s="19">
        <v>927556976</v>
      </c>
      <c r="O126" s="24" t="s">
        <v>232</v>
      </c>
      <c r="P126" s="19" t="s">
        <v>30</v>
      </c>
      <c r="Q126" s="19" t="s">
        <v>27</v>
      </c>
      <c r="R126" s="18" t="s">
        <v>32</v>
      </c>
      <c r="S126" s="19">
        <v>20601242657</v>
      </c>
      <c r="T126" s="19" t="s">
        <v>33</v>
      </c>
      <c r="U126" s="12" t="s">
        <v>123</v>
      </c>
      <c r="V126" s="19" t="s">
        <v>147</v>
      </c>
      <c r="W126" s="19" t="s">
        <v>31</v>
      </c>
      <c r="X126" s="19" t="s">
        <v>679</v>
      </c>
      <c r="Y126" s="19" t="s">
        <v>672</v>
      </c>
      <c r="Z126" s="19" t="s">
        <v>31</v>
      </c>
      <c r="AA126" s="19" t="s">
        <v>31</v>
      </c>
      <c r="AB126" s="13">
        <v>20</v>
      </c>
      <c r="AC126" s="14" t="s">
        <v>111</v>
      </c>
      <c r="AD126" s="14" t="s">
        <v>27</v>
      </c>
      <c r="AE126" s="14"/>
      <c r="AF126" s="50">
        <v>44951</v>
      </c>
      <c r="AG126" s="50"/>
      <c r="AH126" s="50"/>
      <c r="AI126" s="50"/>
      <c r="AJ126" s="14"/>
      <c r="AK126" s="14"/>
    </row>
    <row r="127" spans="1:147" s="41" customFormat="1" ht="18" hidden="1" customHeight="1" x14ac:dyDescent="0.25">
      <c r="A127" s="55">
        <v>137</v>
      </c>
      <c r="B127" s="55" t="s">
        <v>27</v>
      </c>
      <c r="C127" s="55" t="s">
        <v>512</v>
      </c>
      <c r="D127" s="55" t="s">
        <v>790</v>
      </c>
      <c r="E127" s="55"/>
      <c r="F127" s="55" t="s">
        <v>28</v>
      </c>
      <c r="G127" s="55">
        <v>75906469</v>
      </c>
      <c r="H127" s="55" t="s">
        <v>66</v>
      </c>
      <c r="I127" s="55" t="s">
        <v>782</v>
      </c>
      <c r="J127" s="55" t="s">
        <v>783</v>
      </c>
      <c r="K127" s="56" t="str">
        <f t="shared" ref="K127" si="8">CONCATENATE(H127," ",I127," ",J127)</f>
        <v>REYES CHICLOTE CHRISTIAN JHONATAN</v>
      </c>
      <c r="L127" s="55" t="s">
        <v>29</v>
      </c>
      <c r="M127" s="62">
        <v>35039</v>
      </c>
      <c r="N127" s="55">
        <v>982428238</v>
      </c>
      <c r="O127" s="24" t="s">
        <v>232</v>
      </c>
      <c r="P127" s="87" t="s">
        <v>30</v>
      </c>
      <c r="Q127" s="55" t="s">
        <v>27</v>
      </c>
      <c r="R127" s="64" t="s">
        <v>32</v>
      </c>
      <c r="S127" s="55">
        <v>20601242657</v>
      </c>
      <c r="T127" s="55" t="s">
        <v>33</v>
      </c>
      <c r="U127" s="54" t="s">
        <v>123</v>
      </c>
      <c r="V127" s="55" t="s">
        <v>407</v>
      </c>
      <c r="W127" s="55" t="s">
        <v>31</v>
      </c>
      <c r="X127" s="55" t="s">
        <v>784</v>
      </c>
      <c r="Y127" s="55" t="s">
        <v>785</v>
      </c>
      <c r="Z127" s="55" t="s">
        <v>31</v>
      </c>
      <c r="AA127" s="55" t="s">
        <v>31</v>
      </c>
      <c r="AB127" s="59" t="e">
        <f>INT((#REF!-M127)/365)</f>
        <v>#REF!</v>
      </c>
      <c r="AC127" s="60" t="s">
        <v>111</v>
      </c>
      <c r="AD127" s="60" t="s">
        <v>27</v>
      </c>
      <c r="AE127" s="60"/>
      <c r="AF127" s="61">
        <v>45134</v>
      </c>
      <c r="AG127" s="59">
        <f t="shared" ref="AG127:AG136" si="9">DATEDIF(AF127,AJ127,"Y")</f>
        <v>0</v>
      </c>
      <c r="AH127" s="59">
        <f t="shared" ref="AH127:AH136" si="10">DATEDIF(AF127,AJ127,"YM")</f>
        <v>6</v>
      </c>
      <c r="AI127" s="89">
        <f t="shared" ref="AI127:AI136" si="11">DATEDIF(AF127,AJ127,"MD")</f>
        <v>6</v>
      </c>
      <c r="AJ127" s="102">
        <v>45324</v>
      </c>
      <c r="AK127" s="60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</row>
    <row r="128" spans="1:147" s="1" customFormat="1" ht="18" hidden="1" customHeight="1" x14ac:dyDescent="0.25">
      <c r="A128" s="54">
        <v>69</v>
      </c>
      <c r="B128" s="54" t="s">
        <v>27</v>
      </c>
      <c r="C128" s="54" t="s">
        <v>512</v>
      </c>
      <c r="D128" s="55" t="s">
        <v>413</v>
      </c>
      <c r="E128" s="55"/>
      <c r="F128" s="54" t="s">
        <v>28</v>
      </c>
      <c r="G128" s="55">
        <v>47482732</v>
      </c>
      <c r="H128" s="54" t="s">
        <v>415</v>
      </c>
      <c r="I128" s="54" t="s">
        <v>72</v>
      </c>
      <c r="J128" s="54" t="s">
        <v>416</v>
      </c>
      <c r="K128" s="56" t="str">
        <f>CONCATENATE(H128," ",I128," ",J128)</f>
        <v>ALVARADO  SANCHEZ VICTOR ABEL</v>
      </c>
      <c r="L128" s="54" t="s">
        <v>29</v>
      </c>
      <c r="M128" s="57">
        <v>33401</v>
      </c>
      <c r="N128" s="54">
        <v>944017196</v>
      </c>
      <c r="O128" s="54"/>
      <c r="P128" s="88" t="s">
        <v>30</v>
      </c>
      <c r="Q128" s="54" t="s">
        <v>27</v>
      </c>
      <c r="R128" s="64" t="s">
        <v>32</v>
      </c>
      <c r="S128" s="54">
        <v>20601242657</v>
      </c>
      <c r="T128" s="54" t="s">
        <v>33</v>
      </c>
      <c r="U128" s="54" t="s">
        <v>123</v>
      </c>
      <c r="V128" s="54" t="s">
        <v>109</v>
      </c>
      <c r="W128" s="54" t="s">
        <v>31</v>
      </c>
      <c r="X128" s="54" t="s">
        <v>417</v>
      </c>
      <c r="Y128" s="54" t="s">
        <v>418</v>
      </c>
      <c r="Z128" s="54" t="s">
        <v>31</v>
      </c>
      <c r="AA128" s="54" t="s">
        <v>31</v>
      </c>
      <c r="AB128" s="59" t="e">
        <f>INT((#REF!-M128)/365)</f>
        <v>#REF!</v>
      </c>
      <c r="AC128" s="60" t="s">
        <v>111</v>
      </c>
      <c r="AD128" s="60" t="s">
        <v>27</v>
      </c>
      <c r="AE128" s="60"/>
      <c r="AF128" s="61">
        <v>44448</v>
      </c>
      <c r="AG128" s="59">
        <f t="shared" si="9"/>
        <v>2</v>
      </c>
      <c r="AH128" s="59">
        <f t="shared" si="10"/>
        <v>5</v>
      </c>
      <c r="AI128" s="89">
        <f t="shared" si="11"/>
        <v>12</v>
      </c>
      <c r="AJ128" s="102">
        <v>45343</v>
      </c>
      <c r="AK128" s="60"/>
    </row>
    <row r="129" spans="1:147" s="41" customFormat="1" ht="18" hidden="1" customHeight="1" x14ac:dyDescent="0.25">
      <c r="A129" s="55">
        <v>160</v>
      </c>
      <c r="B129" s="55" t="s">
        <v>27</v>
      </c>
      <c r="C129" s="55" t="s">
        <v>512</v>
      </c>
      <c r="D129" s="90"/>
      <c r="E129" s="55"/>
      <c r="F129" s="55" t="s">
        <v>28</v>
      </c>
      <c r="G129" s="55">
        <v>72114823</v>
      </c>
      <c r="H129" s="55" t="s">
        <v>886</v>
      </c>
      <c r="I129" s="55" t="s">
        <v>40</v>
      </c>
      <c r="J129" s="55" t="s">
        <v>887</v>
      </c>
      <c r="K129" s="56" t="str">
        <f t="shared" ref="K129" si="12">CONCATENATE(H129," ",I129," ",J129)</f>
        <v>ALVITES ROJAS ROMARIO</v>
      </c>
      <c r="L129" s="55" t="s">
        <v>29</v>
      </c>
      <c r="M129" s="62">
        <v>36695</v>
      </c>
      <c r="N129" s="55">
        <v>917413039</v>
      </c>
      <c r="O129" s="63"/>
      <c r="P129" s="87" t="s">
        <v>30</v>
      </c>
      <c r="Q129" s="55" t="s">
        <v>27</v>
      </c>
      <c r="R129" s="64" t="s">
        <v>32</v>
      </c>
      <c r="S129" s="55">
        <v>20601242657</v>
      </c>
      <c r="T129" s="55" t="s">
        <v>33</v>
      </c>
      <c r="U129" s="54" t="s">
        <v>123</v>
      </c>
      <c r="V129" s="54" t="s">
        <v>147</v>
      </c>
      <c r="W129" s="55" t="s">
        <v>31</v>
      </c>
      <c r="X129" s="54" t="s">
        <v>888</v>
      </c>
      <c r="Y129" s="55" t="s">
        <v>889</v>
      </c>
      <c r="Z129" s="55" t="s">
        <v>31</v>
      </c>
      <c r="AA129" s="55" t="s">
        <v>31</v>
      </c>
      <c r="AB129" s="59" t="e">
        <f>INT((#REF!-M129)/365)</f>
        <v>#REF!</v>
      </c>
      <c r="AC129" s="60" t="s">
        <v>111</v>
      </c>
      <c r="AD129" s="60" t="s">
        <v>27</v>
      </c>
      <c r="AE129" s="60"/>
      <c r="AF129" s="61">
        <v>45316</v>
      </c>
      <c r="AG129" s="59">
        <f t="shared" si="9"/>
        <v>0</v>
      </c>
      <c r="AH129" s="59">
        <f t="shared" si="10"/>
        <v>0</v>
      </c>
      <c r="AI129" s="89">
        <f t="shared" si="11"/>
        <v>27</v>
      </c>
      <c r="AJ129" s="102">
        <v>45343</v>
      </c>
      <c r="AK129" s="60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</row>
    <row r="130" spans="1:147" s="41" customFormat="1" ht="18" hidden="1" customHeight="1" x14ac:dyDescent="0.25">
      <c r="A130" s="55">
        <v>126</v>
      </c>
      <c r="B130" s="55" t="s">
        <v>27</v>
      </c>
      <c r="C130" s="55" t="s">
        <v>512</v>
      </c>
      <c r="D130" s="55" t="s">
        <v>716</v>
      </c>
      <c r="E130" s="55"/>
      <c r="F130" s="55" t="s">
        <v>28</v>
      </c>
      <c r="G130" s="55">
        <v>74079361</v>
      </c>
      <c r="H130" s="55" t="s">
        <v>717</v>
      </c>
      <c r="I130" s="55" t="s">
        <v>718</v>
      </c>
      <c r="J130" s="55" t="s">
        <v>719</v>
      </c>
      <c r="K130" s="56" t="str">
        <f>CONCATENATE(H130," ",I130," ",J130)</f>
        <v>MANTILLA  NACHUCHO SAUL</v>
      </c>
      <c r="L130" s="55" t="s">
        <v>29</v>
      </c>
      <c r="M130" s="62">
        <v>35021</v>
      </c>
      <c r="N130" s="55">
        <v>967624065</v>
      </c>
      <c r="O130" s="63"/>
      <c r="P130" s="87" t="s">
        <v>30</v>
      </c>
      <c r="Q130" s="55" t="s">
        <v>27</v>
      </c>
      <c r="R130" s="64" t="s">
        <v>32</v>
      </c>
      <c r="S130" s="54">
        <v>20601242657</v>
      </c>
      <c r="T130" s="55" t="s">
        <v>33</v>
      </c>
      <c r="U130" s="54" t="s">
        <v>123</v>
      </c>
      <c r="V130" s="54" t="s">
        <v>147</v>
      </c>
      <c r="W130" s="55" t="s">
        <v>31</v>
      </c>
      <c r="X130" s="55" t="s">
        <v>720</v>
      </c>
      <c r="Y130" s="55" t="s">
        <v>721</v>
      </c>
      <c r="Z130" s="55" t="s">
        <v>31</v>
      </c>
      <c r="AA130" s="55" t="s">
        <v>31</v>
      </c>
      <c r="AB130" s="59" t="e">
        <f>INT((#REF!-M130)/365)</f>
        <v>#REF!</v>
      </c>
      <c r="AC130" s="60" t="s">
        <v>111</v>
      </c>
      <c r="AD130" s="60" t="s">
        <v>27</v>
      </c>
      <c r="AE130" s="60"/>
      <c r="AF130" s="65">
        <v>44986</v>
      </c>
      <c r="AG130" s="59">
        <f t="shared" si="9"/>
        <v>1</v>
      </c>
      <c r="AH130" s="59">
        <f t="shared" si="10"/>
        <v>0</v>
      </c>
      <c r="AI130" s="89">
        <f t="shared" si="11"/>
        <v>11</v>
      </c>
      <c r="AJ130" s="102">
        <v>45363</v>
      </c>
      <c r="AK130" s="60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</row>
    <row r="131" spans="1:147" s="41" customFormat="1" ht="18.75" hidden="1" customHeight="1" x14ac:dyDescent="0.25">
      <c r="A131" s="55">
        <v>183</v>
      </c>
      <c r="B131" s="55" t="s">
        <v>27</v>
      </c>
      <c r="C131" s="55" t="s">
        <v>512</v>
      </c>
      <c r="D131" s="55" t="s">
        <v>801</v>
      </c>
      <c r="E131" s="55"/>
      <c r="F131" s="55" t="s">
        <v>28</v>
      </c>
      <c r="G131" s="55">
        <v>40930693</v>
      </c>
      <c r="H131" s="55" t="s">
        <v>797</v>
      </c>
      <c r="I131" s="55" t="s">
        <v>439</v>
      </c>
      <c r="J131" s="55" t="s">
        <v>798</v>
      </c>
      <c r="K131" s="56" t="str">
        <f>CONCATENATE(H131," ",I131," ",J131)</f>
        <v>RAMIREZ  QUISPE SEGUNDO CESAR</v>
      </c>
      <c r="L131" s="55" t="s">
        <v>29</v>
      </c>
      <c r="M131" s="62">
        <v>29261</v>
      </c>
      <c r="N131" s="55">
        <v>987176213</v>
      </c>
      <c r="O131" s="63"/>
      <c r="P131" s="87" t="s">
        <v>30</v>
      </c>
      <c r="Q131" s="55" t="s">
        <v>27</v>
      </c>
      <c r="R131" s="64" t="s">
        <v>32</v>
      </c>
      <c r="S131" s="54">
        <v>20601242657</v>
      </c>
      <c r="T131" s="55" t="s">
        <v>33</v>
      </c>
      <c r="U131" s="54" t="s">
        <v>123</v>
      </c>
      <c r="V131" s="54" t="s">
        <v>935</v>
      </c>
      <c r="W131" s="55" t="s">
        <v>31</v>
      </c>
      <c r="X131" s="54" t="s">
        <v>796</v>
      </c>
      <c r="Y131" s="55" t="s">
        <v>31</v>
      </c>
      <c r="Z131" s="55" t="s">
        <v>31</v>
      </c>
      <c r="AA131" s="55" t="s">
        <v>31</v>
      </c>
      <c r="AB131" s="59" t="e">
        <f>INT((#REF!-M131)/365)</f>
        <v>#REF!</v>
      </c>
      <c r="AC131" s="60" t="s">
        <v>111</v>
      </c>
      <c r="AD131" s="60" t="s">
        <v>27</v>
      </c>
      <c r="AE131" s="60"/>
      <c r="AF131" s="61">
        <v>45148</v>
      </c>
      <c r="AG131" s="59" t="e">
        <f t="shared" si="9"/>
        <v>#NUM!</v>
      </c>
      <c r="AH131" s="59" t="e">
        <f t="shared" si="10"/>
        <v>#NUM!</v>
      </c>
      <c r="AI131" s="89" t="e">
        <f t="shared" si="11"/>
        <v>#NUM!</v>
      </c>
      <c r="AJ131" s="102"/>
      <c r="AK131" s="60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</row>
    <row r="132" spans="1:147" s="41" customFormat="1" ht="15.95" hidden="1" customHeight="1" x14ac:dyDescent="0.25">
      <c r="A132" s="55">
        <v>214</v>
      </c>
      <c r="B132" s="55" t="s">
        <v>27</v>
      </c>
      <c r="C132" s="55" t="s">
        <v>512</v>
      </c>
      <c r="D132" s="54" t="s">
        <v>933</v>
      </c>
      <c r="E132" s="55"/>
      <c r="F132" s="55" t="s">
        <v>28</v>
      </c>
      <c r="G132" s="55">
        <v>74383118</v>
      </c>
      <c r="H132" s="55" t="s">
        <v>930</v>
      </c>
      <c r="I132" s="55" t="s">
        <v>38</v>
      </c>
      <c r="J132" s="55" t="s">
        <v>706</v>
      </c>
      <c r="K132" s="56" t="str">
        <f t="shared" ref="K132:K133" si="13">CONCATENATE(H132," ",I132," ",J132)</f>
        <v>SANDOVAL HERAS JAIME</v>
      </c>
      <c r="L132" s="55" t="s">
        <v>29</v>
      </c>
      <c r="M132" s="62">
        <v>35595</v>
      </c>
      <c r="N132" s="55"/>
      <c r="O132" s="63"/>
      <c r="P132" s="87" t="s">
        <v>30</v>
      </c>
      <c r="Q132" s="55" t="s">
        <v>27</v>
      </c>
      <c r="R132" s="64" t="s">
        <v>32</v>
      </c>
      <c r="S132" s="54">
        <v>20601242657</v>
      </c>
      <c r="T132" s="55" t="s">
        <v>33</v>
      </c>
      <c r="U132" s="54" t="s">
        <v>123</v>
      </c>
      <c r="V132" s="54" t="s">
        <v>935</v>
      </c>
      <c r="W132" s="55" t="s">
        <v>31</v>
      </c>
      <c r="X132" s="54" t="s">
        <v>931</v>
      </c>
      <c r="Y132" s="55" t="s">
        <v>31</v>
      </c>
      <c r="Z132" s="55" t="s">
        <v>31</v>
      </c>
      <c r="AA132" s="55" t="s">
        <v>31</v>
      </c>
      <c r="AB132" s="59" t="e">
        <f>INT((#REF!-M132)/365)</f>
        <v>#REF!</v>
      </c>
      <c r="AC132" s="60" t="s">
        <v>111</v>
      </c>
      <c r="AD132" s="60" t="s">
        <v>27</v>
      </c>
      <c r="AE132" s="60"/>
      <c r="AF132" s="61">
        <v>45365</v>
      </c>
      <c r="AG132" s="59">
        <f t="shared" si="9"/>
        <v>0</v>
      </c>
      <c r="AH132" s="59">
        <f t="shared" si="10"/>
        <v>2</v>
      </c>
      <c r="AI132" s="89">
        <f t="shared" si="11"/>
        <v>9</v>
      </c>
      <c r="AJ132" s="102">
        <v>45435</v>
      </c>
      <c r="AK132" s="60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</row>
    <row r="133" spans="1:147" s="41" customFormat="1" ht="15.95" hidden="1" customHeight="1" x14ac:dyDescent="0.25">
      <c r="A133" s="55">
        <v>217</v>
      </c>
      <c r="B133" s="55" t="s">
        <v>27</v>
      </c>
      <c r="C133" s="54" t="s">
        <v>512</v>
      </c>
      <c r="D133" s="54" t="s">
        <v>944</v>
      </c>
      <c r="E133" s="55"/>
      <c r="F133" s="54" t="s">
        <v>28</v>
      </c>
      <c r="G133" s="55">
        <v>47541002</v>
      </c>
      <c r="H133" s="55" t="s">
        <v>941</v>
      </c>
      <c r="I133" s="55" t="s">
        <v>60</v>
      </c>
      <c r="J133" s="55" t="s">
        <v>942</v>
      </c>
      <c r="K133" s="56" t="str">
        <f t="shared" si="13"/>
        <v>CHUQUILIN MENDOZA ABNER JOSIAS</v>
      </c>
      <c r="L133" s="54" t="s">
        <v>29</v>
      </c>
      <c r="M133" s="62">
        <v>33964</v>
      </c>
      <c r="N133" s="55">
        <v>975134067</v>
      </c>
      <c r="O133" s="63"/>
      <c r="P133" s="88" t="s">
        <v>30</v>
      </c>
      <c r="Q133" s="54" t="s">
        <v>27</v>
      </c>
      <c r="R133" s="64" t="s">
        <v>32</v>
      </c>
      <c r="S133" s="54">
        <v>20601242657</v>
      </c>
      <c r="T133" s="54" t="s">
        <v>33</v>
      </c>
      <c r="U133" s="54" t="s">
        <v>123</v>
      </c>
      <c r="V133" s="54" t="s">
        <v>935</v>
      </c>
      <c r="W133" s="55" t="s">
        <v>31</v>
      </c>
      <c r="X133" s="55" t="s">
        <v>943</v>
      </c>
      <c r="Y133" s="55" t="s">
        <v>31</v>
      </c>
      <c r="Z133" s="55" t="s">
        <v>31</v>
      </c>
      <c r="AA133" s="55" t="s">
        <v>31</v>
      </c>
      <c r="AB133" s="59" t="e">
        <f>INT((#REF!-M133)/365)</f>
        <v>#REF!</v>
      </c>
      <c r="AC133" s="60" t="s">
        <v>111</v>
      </c>
      <c r="AD133" s="60" t="s">
        <v>27</v>
      </c>
      <c r="AE133" s="60"/>
      <c r="AF133" s="61">
        <v>45414</v>
      </c>
      <c r="AG133" s="59">
        <f t="shared" si="9"/>
        <v>0</v>
      </c>
      <c r="AH133" s="59">
        <f t="shared" si="10"/>
        <v>1</v>
      </c>
      <c r="AI133" s="89">
        <f t="shared" si="11"/>
        <v>3</v>
      </c>
      <c r="AJ133" s="102">
        <v>45448</v>
      </c>
      <c r="AK133" s="6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</row>
    <row r="134" spans="1:147" s="41" customFormat="1" ht="15.95" hidden="1" customHeight="1" x14ac:dyDescent="0.25">
      <c r="A134" s="55">
        <v>111</v>
      </c>
      <c r="B134" s="55" t="s">
        <v>27</v>
      </c>
      <c r="C134" s="55" t="s">
        <v>512</v>
      </c>
      <c r="D134" s="55" t="s">
        <v>600</v>
      </c>
      <c r="E134" s="55"/>
      <c r="F134" s="55" t="s">
        <v>28</v>
      </c>
      <c r="G134" s="55">
        <v>73448463</v>
      </c>
      <c r="H134" s="55" t="s">
        <v>580</v>
      </c>
      <c r="I134" s="55" t="s">
        <v>72</v>
      </c>
      <c r="J134" s="55" t="s">
        <v>581</v>
      </c>
      <c r="K134" s="56" t="str">
        <f>CONCATENATE(H134," ",I134," ",J134)</f>
        <v>FLORIAN  SANCHEZ EDSON FLAVIO</v>
      </c>
      <c r="L134" s="55" t="s">
        <v>29</v>
      </c>
      <c r="M134" s="62">
        <v>37027</v>
      </c>
      <c r="N134" s="55">
        <v>967649560</v>
      </c>
      <c r="O134" s="63"/>
      <c r="P134" s="87" t="s">
        <v>30</v>
      </c>
      <c r="Q134" s="55" t="s">
        <v>27</v>
      </c>
      <c r="R134" s="64" t="s">
        <v>32</v>
      </c>
      <c r="S134" s="54">
        <v>20601242657</v>
      </c>
      <c r="T134" s="55" t="s">
        <v>33</v>
      </c>
      <c r="U134" s="54" t="s">
        <v>123</v>
      </c>
      <c r="V134" s="54" t="s">
        <v>285</v>
      </c>
      <c r="W134" s="55" t="s">
        <v>31</v>
      </c>
      <c r="X134" s="54" t="s">
        <v>595</v>
      </c>
      <c r="Y134" s="55" t="s">
        <v>31</v>
      </c>
      <c r="Z134" s="55" t="s">
        <v>31</v>
      </c>
      <c r="AA134" s="55" t="s">
        <v>31</v>
      </c>
      <c r="AB134" s="59" t="e">
        <f>INT((#REF!-M134)/365)</f>
        <v>#REF!</v>
      </c>
      <c r="AC134" s="60" t="s">
        <v>111</v>
      </c>
      <c r="AD134" s="60" t="s">
        <v>27</v>
      </c>
      <c r="AE134" s="60"/>
      <c r="AF134" s="61">
        <v>44804</v>
      </c>
      <c r="AG134" s="59">
        <f t="shared" si="9"/>
        <v>1</v>
      </c>
      <c r="AH134" s="59">
        <f t="shared" si="10"/>
        <v>9</v>
      </c>
      <c r="AI134" s="89">
        <f t="shared" si="11"/>
        <v>19</v>
      </c>
      <c r="AJ134" s="102">
        <v>45462</v>
      </c>
      <c r="AK134" s="60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</row>
    <row r="135" spans="1:147" s="1" customFormat="1" ht="15.95" hidden="1" customHeight="1" x14ac:dyDescent="0.25">
      <c r="A135" s="55">
        <v>103</v>
      </c>
      <c r="B135" s="55" t="s">
        <v>27</v>
      </c>
      <c r="C135" s="55" t="s">
        <v>512</v>
      </c>
      <c r="D135" s="55" t="s">
        <v>555</v>
      </c>
      <c r="E135" s="55"/>
      <c r="F135" s="55" t="s">
        <v>28</v>
      </c>
      <c r="G135" s="55">
        <v>44517062</v>
      </c>
      <c r="H135" s="55" t="s">
        <v>551</v>
      </c>
      <c r="I135" s="55" t="s">
        <v>552</v>
      </c>
      <c r="J135" s="55" t="s">
        <v>553</v>
      </c>
      <c r="K135" s="56" t="str">
        <f t="shared" ref="K135" si="14">CONCATENATE(H135," ",I135," ",J135)</f>
        <v>INFANTE  HUAMAN  ELMER JAVIER</v>
      </c>
      <c r="L135" s="55" t="s">
        <v>29</v>
      </c>
      <c r="M135" s="62">
        <v>32020</v>
      </c>
      <c r="N135" s="55">
        <v>952409268</v>
      </c>
      <c r="O135" s="63"/>
      <c r="P135" s="87" t="s">
        <v>30</v>
      </c>
      <c r="Q135" s="55" t="s">
        <v>27</v>
      </c>
      <c r="R135" s="64" t="s">
        <v>32</v>
      </c>
      <c r="S135" s="55">
        <v>20601242657</v>
      </c>
      <c r="T135" s="55" t="s">
        <v>33</v>
      </c>
      <c r="U135" s="54" t="s">
        <v>123</v>
      </c>
      <c r="V135" s="54" t="s">
        <v>407</v>
      </c>
      <c r="W135" s="55" t="s">
        <v>31</v>
      </c>
      <c r="X135" s="55" t="s">
        <v>558</v>
      </c>
      <c r="Y135" s="55" t="s">
        <v>31</v>
      </c>
      <c r="Z135" s="55" t="s">
        <v>31</v>
      </c>
      <c r="AA135" s="55" t="s">
        <v>31</v>
      </c>
      <c r="AB135" s="59">
        <f t="shared" ref="AB135:AB140" si="15">INT(($C$3-M135)/365)</f>
        <v>-88</v>
      </c>
      <c r="AC135" s="60" t="s">
        <v>111</v>
      </c>
      <c r="AD135" s="60" t="s">
        <v>27</v>
      </c>
      <c r="AE135" s="60"/>
      <c r="AF135" s="61">
        <v>44707</v>
      </c>
      <c r="AG135" s="59">
        <f t="shared" si="9"/>
        <v>2</v>
      </c>
      <c r="AH135" s="59">
        <f t="shared" si="10"/>
        <v>1</v>
      </c>
      <c r="AI135" s="89">
        <f t="shared" si="11"/>
        <v>21</v>
      </c>
      <c r="AJ135" s="102">
        <v>45490</v>
      </c>
      <c r="AK135" s="60"/>
    </row>
    <row r="136" spans="1:147" s="1" customFormat="1" ht="15.95" hidden="1" customHeight="1" x14ac:dyDescent="0.25">
      <c r="A136" s="54">
        <v>64</v>
      </c>
      <c r="B136" s="54" t="s">
        <v>27</v>
      </c>
      <c r="C136" s="54" t="s">
        <v>512</v>
      </c>
      <c r="D136" s="55" t="s">
        <v>288</v>
      </c>
      <c r="E136" s="55"/>
      <c r="F136" s="54" t="s">
        <v>28</v>
      </c>
      <c r="G136" s="55">
        <v>47120216</v>
      </c>
      <c r="H136" s="54" t="s">
        <v>48</v>
      </c>
      <c r="I136" s="54" t="s">
        <v>270</v>
      </c>
      <c r="J136" s="54" t="s">
        <v>271</v>
      </c>
      <c r="K136" s="56" t="str">
        <f>CONCATENATE(H136," ",I136," ",J136)</f>
        <v xml:space="preserve">CHUQUIMANGO AYAY JUAN </v>
      </c>
      <c r="L136" s="54" t="s">
        <v>29</v>
      </c>
      <c r="M136" s="62">
        <v>33439</v>
      </c>
      <c r="N136" s="54">
        <v>964346533</v>
      </c>
      <c r="O136" s="54"/>
      <c r="P136" s="88" t="s">
        <v>30</v>
      </c>
      <c r="Q136" s="54" t="s">
        <v>27</v>
      </c>
      <c r="R136" s="64" t="s">
        <v>32</v>
      </c>
      <c r="S136" s="54">
        <v>20601242657</v>
      </c>
      <c r="T136" s="54" t="s">
        <v>33</v>
      </c>
      <c r="U136" s="54" t="s">
        <v>123</v>
      </c>
      <c r="V136" s="54" t="s">
        <v>109</v>
      </c>
      <c r="W136" s="54" t="s">
        <v>31</v>
      </c>
      <c r="X136" s="54" t="s">
        <v>272</v>
      </c>
      <c r="Y136" s="54" t="s">
        <v>31</v>
      </c>
      <c r="Z136" s="54" t="s">
        <v>31</v>
      </c>
      <c r="AA136" s="54" t="s">
        <v>31</v>
      </c>
      <c r="AB136" s="59">
        <f t="shared" si="15"/>
        <v>-92</v>
      </c>
      <c r="AC136" s="60" t="s">
        <v>111</v>
      </c>
      <c r="AD136" s="60" t="s">
        <v>27</v>
      </c>
      <c r="AE136" s="60"/>
      <c r="AF136" s="61">
        <v>44371</v>
      </c>
      <c r="AG136" s="59">
        <f t="shared" si="9"/>
        <v>3</v>
      </c>
      <c r="AH136" s="59">
        <f t="shared" si="10"/>
        <v>1</v>
      </c>
      <c r="AI136" s="89">
        <f t="shared" si="11"/>
        <v>7</v>
      </c>
      <c r="AJ136" s="103">
        <v>45504</v>
      </c>
      <c r="AK136" s="60" t="s">
        <v>962</v>
      </c>
    </row>
    <row r="137" spans="1:147" s="1" customFormat="1" ht="15.95" hidden="1" customHeight="1" x14ac:dyDescent="0.25">
      <c r="A137" s="54">
        <v>66</v>
      </c>
      <c r="B137" s="54" t="s">
        <v>27</v>
      </c>
      <c r="C137" s="54" t="s">
        <v>512</v>
      </c>
      <c r="D137" s="55" t="s">
        <v>362</v>
      </c>
      <c r="E137" s="55"/>
      <c r="F137" s="54" t="s">
        <v>28</v>
      </c>
      <c r="G137" s="55">
        <v>73143895</v>
      </c>
      <c r="H137" s="54" t="s">
        <v>291</v>
      </c>
      <c r="I137" s="54" t="s">
        <v>183</v>
      </c>
      <c r="J137" s="54" t="s">
        <v>292</v>
      </c>
      <c r="K137" s="56" t="str">
        <f>CONCATENATE(H137," ",I137," ",J137)</f>
        <v>TAICA  VALIENTE GILMER</v>
      </c>
      <c r="L137" s="54" t="s">
        <v>29</v>
      </c>
      <c r="M137" s="62">
        <v>36212</v>
      </c>
      <c r="N137" s="54">
        <v>921400351</v>
      </c>
      <c r="O137" s="54"/>
      <c r="P137" s="88" t="s">
        <v>30</v>
      </c>
      <c r="Q137" s="54" t="s">
        <v>27</v>
      </c>
      <c r="R137" s="64" t="s">
        <v>32</v>
      </c>
      <c r="S137" s="54">
        <v>20601242657</v>
      </c>
      <c r="T137" s="54" t="s">
        <v>33</v>
      </c>
      <c r="U137" s="54" t="s">
        <v>123</v>
      </c>
      <c r="V137" s="54" t="s">
        <v>109</v>
      </c>
      <c r="W137" s="54" t="s">
        <v>31</v>
      </c>
      <c r="X137" s="54" t="s">
        <v>294</v>
      </c>
      <c r="Y137" s="54" t="s">
        <v>293</v>
      </c>
      <c r="Z137" s="54" t="s">
        <v>31</v>
      </c>
      <c r="AA137" s="54" t="s">
        <v>31</v>
      </c>
      <c r="AB137" s="59">
        <f t="shared" si="15"/>
        <v>-100</v>
      </c>
      <c r="AC137" s="60" t="s">
        <v>111</v>
      </c>
      <c r="AD137" s="60" t="s">
        <v>27</v>
      </c>
      <c r="AE137" s="60"/>
      <c r="AF137" s="61">
        <v>44385</v>
      </c>
      <c r="AG137" s="59">
        <f t="shared" ref="AG137:AG165" si="16">DATEDIF(AF137,AJ137,"Y")</f>
        <v>3</v>
      </c>
      <c r="AH137" s="59">
        <f t="shared" ref="AH137:AH165" si="17">DATEDIF(AF137,AJ137,"YM")</f>
        <v>1</v>
      </c>
      <c r="AI137" s="89">
        <f t="shared" ref="AI137:AI165" si="18">DATEDIF(AF137,AJ137,"MD")</f>
        <v>4</v>
      </c>
      <c r="AJ137" s="103">
        <v>45516</v>
      </c>
      <c r="AK137" s="60" t="s">
        <v>962</v>
      </c>
    </row>
    <row r="138" spans="1:147" s="41" customFormat="1" ht="15.95" hidden="1" customHeight="1" x14ac:dyDescent="0.25">
      <c r="A138" s="55">
        <v>220</v>
      </c>
      <c r="B138" s="55" t="s">
        <v>27</v>
      </c>
      <c r="C138" s="55" t="s">
        <v>512</v>
      </c>
      <c r="D138" s="54" t="s">
        <v>954</v>
      </c>
      <c r="E138" s="55"/>
      <c r="F138" s="55" t="s">
        <v>28</v>
      </c>
      <c r="G138" s="55">
        <v>71544149</v>
      </c>
      <c r="H138" s="55" t="s">
        <v>949</v>
      </c>
      <c r="I138" s="55" t="s">
        <v>950</v>
      </c>
      <c r="J138" s="55" t="s">
        <v>951</v>
      </c>
      <c r="K138" s="56" t="str">
        <f>CONCATENATE(H138," ",I138," ",J138)</f>
        <v>ESCOBEDO SICCHA ARTEMIO</v>
      </c>
      <c r="L138" s="54" t="s">
        <v>29</v>
      </c>
      <c r="M138" s="62">
        <v>38051</v>
      </c>
      <c r="N138" s="55">
        <v>921746033</v>
      </c>
      <c r="O138" s="63"/>
      <c r="P138" s="87" t="s">
        <v>30</v>
      </c>
      <c r="Q138" s="55" t="s">
        <v>27</v>
      </c>
      <c r="R138" s="64" t="s">
        <v>32</v>
      </c>
      <c r="S138" s="54">
        <v>20601242657</v>
      </c>
      <c r="T138" s="55" t="s">
        <v>33</v>
      </c>
      <c r="U138" s="54" t="s">
        <v>123</v>
      </c>
      <c r="V138" s="54" t="s">
        <v>935</v>
      </c>
      <c r="W138" s="55" t="s">
        <v>111</v>
      </c>
      <c r="X138" s="54" t="s">
        <v>948</v>
      </c>
      <c r="Y138" s="55" t="s">
        <v>111</v>
      </c>
      <c r="Z138" s="55" t="s">
        <v>459</v>
      </c>
      <c r="AA138" s="55" t="s">
        <v>45</v>
      </c>
      <c r="AB138" s="59">
        <f t="shared" si="15"/>
        <v>-105</v>
      </c>
      <c r="AC138" s="60" t="s">
        <v>111</v>
      </c>
      <c r="AD138" s="60" t="s">
        <v>27</v>
      </c>
      <c r="AE138" s="60"/>
      <c r="AF138" s="61">
        <v>45456</v>
      </c>
      <c r="AG138" s="59">
        <f t="shared" si="16"/>
        <v>0</v>
      </c>
      <c r="AH138" s="59">
        <f t="shared" si="17"/>
        <v>1</v>
      </c>
      <c r="AI138" s="89">
        <f t="shared" si="18"/>
        <v>28</v>
      </c>
      <c r="AJ138" s="103">
        <v>45514</v>
      </c>
      <c r="AK138" s="60" t="s">
        <v>961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</row>
    <row r="139" spans="1:147" s="1" customFormat="1" ht="15.95" hidden="1" customHeight="1" x14ac:dyDescent="0.25">
      <c r="A139" s="54">
        <v>205</v>
      </c>
      <c r="B139" s="54" t="s">
        <v>27</v>
      </c>
      <c r="C139" s="54" t="s">
        <v>512</v>
      </c>
      <c r="D139" s="54" t="s">
        <v>903</v>
      </c>
      <c r="E139" s="54"/>
      <c r="F139" s="54" t="s">
        <v>28</v>
      </c>
      <c r="G139" s="55">
        <v>80610247</v>
      </c>
      <c r="H139" s="54" t="s">
        <v>81</v>
      </c>
      <c r="I139" s="54" t="s">
        <v>82</v>
      </c>
      <c r="J139" s="54" t="s">
        <v>83</v>
      </c>
      <c r="K139" s="56" t="str">
        <f t="shared" ref="K139" si="19">CONCATENATE(H139," ",I139," ",J139)</f>
        <v>MESTANZA CALDERON CARMELO</v>
      </c>
      <c r="L139" s="54" t="s">
        <v>29</v>
      </c>
      <c r="M139" s="57">
        <v>29050</v>
      </c>
      <c r="N139" s="54">
        <v>994997969</v>
      </c>
      <c r="O139" s="54"/>
      <c r="P139" s="88" t="s">
        <v>30</v>
      </c>
      <c r="Q139" s="54" t="s">
        <v>27</v>
      </c>
      <c r="R139" s="58" t="s">
        <v>32</v>
      </c>
      <c r="S139" s="54">
        <v>20601242657</v>
      </c>
      <c r="T139" s="54" t="s">
        <v>33</v>
      </c>
      <c r="U139" s="54" t="s">
        <v>123</v>
      </c>
      <c r="V139" s="54" t="s">
        <v>109</v>
      </c>
      <c r="W139" s="54" t="s">
        <v>31</v>
      </c>
      <c r="X139" s="54" t="s">
        <v>677</v>
      </c>
      <c r="Y139" s="54" t="s">
        <v>31</v>
      </c>
      <c r="Z139" s="54" t="s">
        <v>31</v>
      </c>
      <c r="AA139" s="54" t="s">
        <v>31</v>
      </c>
      <c r="AB139" s="59">
        <f t="shared" si="15"/>
        <v>-80</v>
      </c>
      <c r="AC139" s="60" t="s">
        <v>111</v>
      </c>
      <c r="AD139" s="60" t="s">
        <v>27</v>
      </c>
      <c r="AE139" s="60"/>
      <c r="AF139" s="61">
        <v>45323</v>
      </c>
      <c r="AG139" s="59">
        <f t="shared" si="16"/>
        <v>0</v>
      </c>
      <c r="AH139" s="59">
        <f t="shared" si="17"/>
        <v>7</v>
      </c>
      <c r="AI139" s="89">
        <f t="shared" si="18"/>
        <v>4</v>
      </c>
      <c r="AJ139" s="103">
        <v>45540</v>
      </c>
      <c r="AK139" s="60" t="s">
        <v>961</v>
      </c>
    </row>
    <row r="140" spans="1:147" s="41" customFormat="1" ht="15.95" hidden="1" customHeight="1" x14ac:dyDescent="0.25">
      <c r="A140" s="55">
        <v>218</v>
      </c>
      <c r="B140" s="55" t="s">
        <v>27</v>
      </c>
      <c r="C140" s="55" t="s">
        <v>512</v>
      </c>
      <c r="D140" s="54" t="s">
        <v>953</v>
      </c>
      <c r="E140" s="55"/>
      <c r="F140" s="55" t="s">
        <v>28</v>
      </c>
      <c r="G140" s="55">
        <v>72319034</v>
      </c>
      <c r="H140" s="55" t="s">
        <v>427</v>
      </c>
      <c r="I140" s="55" t="s">
        <v>428</v>
      </c>
      <c r="J140" s="55" t="s">
        <v>947</v>
      </c>
      <c r="K140" s="56" t="str">
        <f>CONCATENATE(H140," ",I140," ",J140)</f>
        <v>ENCARNACION ARANDA DAVID</v>
      </c>
      <c r="L140" s="54" t="s">
        <v>29</v>
      </c>
      <c r="M140" s="62">
        <v>36562</v>
      </c>
      <c r="N140" s="55"/>
      <c r="O140" s="63"/>
      <c r="P140" s="87" t="s">
        <v>30</v>
      </c>
      <c r="Q140" s="55" t="s">
        <v>27</v>
      </c>
      <c r="R140" s="64" t="s">
        <v>32</v>
      </c>
      <c r="S140" s="54">
        <v>20601242657</v>
      </c>
      <c r="T140" s="55" t="s">
        <v>33</v>
      </c>
      <c r="U140" s="54" t="s">
        <v>123</v>
      </c>
      <c r="V140" s="54" t="s">
        <v>935</v>
      </c>
      <c r="W140" s="55" t="s">
        <v>111</v>
      </c>
      <c r="X140" s="54" t="s">
        <v>948</v>
      </c>
      <c r="Y140" s="55" t="s">
        <v>111</v>
      </c>
      <c r="Z140" s="55" t="s">
        <v>459</v>
      </c>
      <c r="AA140" s="55" t="s">
        <v>45</v>
      </c>
      <c r="AB140" s="59">
        <f t="shared" si="15"/>
        <v>-101</v>
      </c>
      <c r="AC140" s="60" t="s">
        <v>111</v>
      </c>
      <c r="AD140" s="60" t="s">
        <v>27</v>
      </c>
      <c r="AE140" s="60"/>
      <c r="AF140" s="61">
        <v>45437</v>
      </c>
      <c r="AG140" s="59">
        <f t="shared" si="16"/>
        <v>0</v>
      </c>
      <c r="AH140" s="59">
        <f t="shared" si="17"/>
        <v>4</v>
      </c>
      <c r="AI140" s="89">
        <f t="shared" si="18"/>
        <v>28</v>
      </c>
      <c r="AJ140" s="103">
        <v>45588</v>
      </c>
      <c r="AK140" s="60" t="s">
        <v>962</v>
      </c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</row>
    <row r="141" spans="1:147" s="41" customFormat="1" ht="15.95" hidden="1" customHeight="1" x14ac:dyDescent="0.25">
      <c r="A141" s="55">
        <v>196</v>
      </c>
      <c r="B141" s="55" t="s">
        <v>27</v>
      </c>
      <c r="C141" s="55" t="s">
        <v>512</v>
      </c>
      <c r="D141" s="55" t="s">
        <v>863</v>
      </c>
      <c r="E141" s="55"/>
      <c r="F141" s="55" t="s">
        <v>28</v>
      </c>
      <c r="G141" s="55">
        <v>44341248</v>
      </c>
      <c r="H141" s="55" t="s">
        <v>848</v>
      </c>
      <c r="I141" s="55" t="s">
        <v>546</v>
      </c>
      <c r="J141" s="55" t="s">
        <v>849</v>
      </c>
      <c r="K141" s="56" t="str">
        <f>CONCATENATE(H141," ",I141," ",J141)</f>
        <v>RODRÍGUEZ FLORES  CÉSAR FLORIÁN</v>
      </c>
      <c r="L141" s="55" t="s">
        <v>29</v>
      </c>
      <c r="M141" s="62">
        <v>31702</v>
      </c>
      <c r="N141" s="55">
        <v>976233261</v>
      </c>
      <c r="O141" s="91" t="s">
        <v>958</v>
      </c>
      <c r="P141" s="87" t="s">
        <v>30</v>
      </c>
      <c r="Q141" s="55" t="s">
        <v>27</v>
      </c>
      <c r="R141" s="64" t="s">
        <v>32</v>
      </c>
      <c r="S141" s="55">
        <v>20601242657</v>
      </c>
      <c r="T141" s="55" t="s">
        <v>33</v>
      </c>
      <c r="U141" s="54" t="s">
        <v>123</v>
      </c>
      <c r="V141" s="55" t="s">
        <v>872</v>
      </c>
      <c r="W141" s="55" t="s">
        <v>876</v>
      </c>
      <c r="X141" s="55" t="s">
        <v>879</v>
      </c>
      <c r="Y141" s="55" t="s">
        <v>878</v>
      </c>
      <c r="Z141" s="55" t="s">
        <v>877</v>
      </c>
      <c r="AA141" s="55" t="s">
        <v>876</v>
      </c>
      <c r="AB141" s="59">
        <f>INT(($C$3-M141)/365)</f>
        <v>-87</v>
      </c>
      <c r="AC141" s="60" t="s">
        <v>34</v>
      </c>
      <c r="AD141" s="60" t="s">
        <v>27</v>
      </c>
      <c r="AE141" s="60"/>
      <c r="AF141" s="61">
        <v>45255</v>
      </c>
      <c r="AG141" s="59">
        <f t="shared" si="16"/>
        <v>1</v>
      </c>
      <c r="AH141" s="59">
        <f t="shared" si="17"/>
        <v>0</v>
      </c>
      <c r="AI141" s="89">
        <f t="shared" si="18"/>
        <v>0</v>
      </c>
      <c r="AJ141" s="103">
        <v>45621</v>
      </c>
      <c r="AK141" s="60" t="s">
        <v>1004</v>
      </c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</row>
    <row r="142" spans="1:147" s="41" customFormat="1" ht="15.95" hidden="1" customHeight="1" x14ac:dyDescent="0.25">
      <c r="A142" s="55">
        <v>195</v>
      </c>
      <c r="B142" s="55" t="s">
        <v>27</v>
      </c>
      <c r="C142" s="55" t="s">
        <v>512</v>
      </c>
      <c r="D142" s="55" t="s">
        <v>860</v>
      </c>
      <c r="E142" s="55"/>
      <c r="F142" s="55" t="s">
        <v>28</v>
      </c>
      <c r="G142" s="55">
        <v>76864872</v>
      </c>
      <c r="H142" s="55" t="s">
        <v>848</v>
      </c>
      <c r="I142" s="55" t="s">
        <v>57</v>
      </c>
      <c r="J142" s="55" t="s">
        <v>850</v>
      </c>
      <c r="K142" s="56" t="str">
        <f>CONCATENATE(H142," ",I142," ",J142)</f>
        <v>RODRÍGUEZ GUEVARA MARCO ALEXANDER</v>
      </c>
      <c r="L142" s="55" t="s">
        <v>29</v>
      </c>
      <c r="M142" s="62">
        <v>34767</v>
      </c>
      <c r="N142" s="55">
        <v>963308915</v>
      </c>
      <c r="O142" s="91" t="s">
        <v>956</v>
      </c>
      <c r="P142" s="87" t="s">
        <v>30</v>
      </c>
      <c r="Q142" s="55" t="s">
        <v>27</v>
      </c>
      <c r="R142" s="64" t="s">
        <v>32</v>
      </c>
      <c r="S142" s="55">
        <v>20601242657</v>
      </c>
      <c r="T142" s="55" t="s">
        <v>33</v>
      </c>
      <c r="U142" s="54" t="s">
        <v>123</v>
      </c>
      <c r="V142" s="55" t="s">
        <v>873</v>
      </c>
      <c r="W142" s="55" t="s">
        <v>45</v>
      </c>
      <c r="X142" s="55" t="s">
        <v>880</v>
      </c>
      <c r="Y142" s="55" t="s">
        <v>34</v>
      </c>
      <c r="Z142" s="55" t="s">
        <v>34</v>
      </c>
      <c r="AA142" s="55" t="s">
        <v>45</v>
      </c>
      <c r="AB142" s="59">
        <f>INT(($C$3-M142)/365)</f>
        <v>-96</v>
      </c>
      <c r="AC142" s="60" t="s">
        <v>34</v>
      </c>
      <c r="AD142" s="60" t="s">
        <v>27</v>
      </c>
      <c r="AE142" s="60"/>
      <c r="AF142" s="61">
        <v>45253</v>
      </c>
      <c r="AG142" s="59">
        <f t="shared" si="16"/>
        <v>1</v>
      </c>
      <c r="AH142" s="59">
        <f t="shared" si="17"/>
        <v>0</v>
      </c>
      <c r="AI142" s="89">
        <f t="shared" si="18"/>
        <v>0</v>
      </c>
      <c r="AJ142" s="103">
        <v>45619</v>
      </c>
      <c r="AK142" s="60" t="s">
        <v>1004</v>
      </c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</row>
    <row r="143" spans="1:147" s="1" customFormat="1" ht="15.95" hidden="1" customHeight="1" x14ac:dyDescent="0.25">
      <c r="A143" s="54">
        <v>225</v>
      </c>
      <c r="B143" s="54" t="s">
        <v>27</v>
      </c>
      <c r="C143" s="54" t="s">
        <v>512</v>
      </c>
      <c r="D143" s="54" t="s">
        <v>981</v>
      </c>
      <c r="E143" s="54"/>
      <c r="F143" s="54" t="s">
        <v>28</v>
      </c>
      <c r="G143" s="55">
        <v>44738574</v>
      </c>
      <c r="H143" s="54" t="s">
        <v>978</v>
      </c>
      <c r="I143" s="54" t="s">
        <v>766</v>
      </c>
      <c r="J143" s="54" t="s">
        <v>977</v>
      </c>
      <c r="K143" s="56" t="str">
        <f t="shared" ref="K143" si="20">CONCATENATE(H143," ",I143," ",J143)</f>
        <v>SUAREZ CASTAÑEDA MIULLER ALONSO</v>
      </c>
      <c r="L143" s="54" t="s">
        <v>29</v>
      </c>
      <c r="M143" s="57">
        <v>32063</v>
      </c>
      <c r="N143" s="54"/>
      <c r="O143" s="54"/>
      <c r="P143" s="88" t="s">
        <v>30</v>
      </c>
      <c r="Q143" s="54" t="s">
        <v>27</v>
      </c>
      <c r="R143" s="58" t="s">
        <v>32</v>
      </c>
      <c r="S143" s="54">
        <v>20601242658</v>
      </c>
      <c r="T143" s="54" t="s">
        <v>33</v>
      </c>
      <c r="U143" s="54" t="s">
        <v>123</v>
      </c>
      <c r="V143" s="54" t="s">
        <v>109</v>
      </c>
      <c r="W143" s="54" t="s">
        <v>149</v>
      </c>
      <c r="X143" s="54" t="s">
        <v>980</v>
      </c>
      <c r="Y143" s="54" t="s">
        <v>979</v>
      </c>
      <c r="Z143" s="54" t="s">
        <v>458</v>
      </c>
      <c r="AA143" s="54" t="s">
        <v>45</v>
      </c>
      <c r="AB143" s="59">
        <f t="shared" ref="AB143:AB153" si="21">INT(($C$3-M143)/365)</f>
        <v>-88</v>
      </c>
      <c r="AC143" s="60" t="s">
        <v>34</v>
      </c>
      <c r="AD143" s="60" t="s">
        <v>27</v>
      </c>
      <c r="AE143" s="60"/>
      <c r="AF143" s="61">
        <v>45591</v>
      </c>
      <c r="AG143" s="59">
        <f t="shared" si="16"/>
        <v>0</v>
      </c>
      <c r="AH143" s="59">
        <f t="shared" si="17"/>
        <v>0</v>
      </c>
      <c r="AI143" s="89">
        <f t="shared" si="18"/>
        <v>4</v>
      </c>
      <c r="AJ143" s="103">
        <v>45595</v>
      </c>
      <c r="AK143" s="60" t="s">
        <v>961</v>
      </c>
    </row>
    <row r="144" spans="1:147" s="41" customFormat="1" ht="15.95" hidden="1" customHeight="1" x14ac:dyDescent="0.25">
      <c r="A144" s="55">
        <v>174</v>
      </c>
      <c r="B144" s="55" t="s">
        <v>27</v>
      </c>
      <c r="C144" s="55" t="s">
        <v>512</v>
      </c>
      <c r="D144" s="55" t="s">
        <v>749</v>
      </c>
      <c r="E144" s="55"/>
      <c r="F144" s="55" t="s">
        <v>28</v>
      </c>
      <c r="G144" s="55">
        <v>75414330</v>
      </c>
      <c r="H144" s="55" t="s">
        <v>575</v>
      </c>
      <c r="I144" s="55" t="s">
        <v>576</v>
      </c>
      <c r="J144" s="55" t="s">
        <v>747</v>
      </c>
      <c r="K144" s="56" t="str">
        <f>CONCATENATE(H144," ",I144," ",J144)</f>
        <v>RUIZ  URIARTE  ESGAR JESUS</v>
      </c>
      <c r="L144" s="55" t="s">
        <v>29</v>
      </c>
      <c r="M144" s="62">
        <v>37522</v>
      </c>
      <c r="N144" s="55">
        <v>916963611</v>
      </c>
      <c r="O144" s="63"/>
      <c r="P144" s="87" t="s">
        <v>30</v>
      </c>
      <c r="Q144" s="55" t="s">
        <v>27</v>
      </c>
      <c r="R144" s="64" t="s">
        <v>32</v>
      </c>
      <c r="S144" s="54">
        <v>20601242657</v>
      </c>
      <c r="T144" s="55" t="s">
        <v>33</v>
      </c>
      <c r="U144" s="54" t="s">
        <v>123</v>
      </c>
      <c r="V144" s="54" t="s">
        <v>935</v>
      </c>
      <c r="W144" s="55" t="s">
        <v>31</v>
      </c>
      <c r="X144" s="55" t="s">
        <v>748</v>
      </c>
      <c r="Y144" s="55" t="s">
        <v>31</v>
      </c>
      <c r="Z144" s="55" t="s">
        <v>31</v>
      </c>
      <c r="AA144" s="55" t="s">
        <v>31</v>
      </c>
      <c r="AB144" s="59">
        <f t="shared" si="21"/>
        <v>-103</v>
      </c>
      <c r="AC144" s="60" t="s">
        <v>111</v>
      </c>
      <c r="AD144" s="60" t="s">
        <v>27</v>
      </c>
      <c r="AE144" s="60"/>
      <c r="AF144" s="65">
        <v>45035</v>
      </c>
      <c r="AG144" s="59">
        <f t="shared" si="16"/>
        <v>1</v>
      </c>
      <c r="AH144" s="59">
        <f t="shared" si="17"/>
        <v>6</v>
      </c>
      <c r="AI144" s="89">
        <f t="shared" si="18"/>
        <v>25</v>
      </c>
      <c r="AJ144" s="103">
        <v>45609</v>
      </c>
      <c r="AK144" s="60" t="s">
        <v>962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</row>
    <row r="145" spans="1:147" s="41" customFormat="1" ht="15.95" hidden="1" customHeight="1" x14ac:dyDescent="0.25">
      <c r="A145" s="55">
        <v>209</v>
      </c>
      <c r="B145" s="55" t="s">
        <v>27</v>
      </c>
      <c r="C145" s="55" t="s">
        <v>512</v>
      </c>
      <c r="D145" s="54" t="s">
        <v>914</v>
      </c>
      <c r="E145" s="55"/>
      <c r="F145" s="55" t="s">
        <v>28</v>
      </c>
      <c r="G145" s="55">
        <v>71770643</v>
      </c>
      <c r="H145" s="55" t="s">
        <v>189</v>
      </c>
      <c r="I145" s="55" t="s">
        <v>190</v>
      </c>
      <c r="J145" s="55" t="s">
        <v>910</v>
      </c>
      <c r="K145" s="56" t="str">
        <f t="shared" ref="K145:K153" si="22">CONCATENATE(H145," ",I145," ",J145)</f>
        <v>VILCA AQUINO CRISTHIAN ALEXADER</v>
      </c>
      <c r="L145" s="55" t="s">
        <v>29</v>
      </c>
      <c r="M145" s="62">
        <v>36685</v>
      </c>
      <c r="N145" s="55">
        <v>947946040</v>
      </c>
      <c r="O145" s="63"/>
      <c r="P145" s="87" t="s">
        <v>30</v>
      </c>
      <c r="Q145" s="55" t="s">
        <v>27</v>
      </c>
      <c r="R145" s="64" t="s">
        <v>32</v>
      </c>
      <c r="S145" s="54">
        <v>20601242657</v>
      </c>
      <c r="T145" s="55" t="s">
        <v>33</v>
      </c>
      <c r="U145" s="54" t="s">
        <v>123</v>
      </c>
      <c r="V145" s="54" t="s">
        <v>935</v>
      </c>
      <c r="W145" s="55" t="s">
        <v>31</v>
      </c>
      <c r="X145" s="54" t="s">
        <v>510</v>
      </c>
      <c r="Y145" s="55" t="s">
        <v>509</v>
      </c>
      <c r="Z145" s="55" t="s">
        <v>31</v>
      </c>
      <c r="AA145" s="55" t="s">
        <v>31</v>
      </c>
      <c r="AB145" s="59">
        <f t="shared" si="21"/>
        <v>-101</v>
      </c>
      <c r="AC145" s="60" t="s">
        <v>111</v>
      </c>
      <c r="AD145" s="60" t="s">
        <v>27</v>
      </c>
      <c r="AE145" s="60"/>
      <c r="AF145" s="61">
        <v>45344</v>
      </c>
      <c r="AG145" s="59">
        <f t="shared" si="16"/>
        <v>0</v>
      </c>
      <c r="AH145" s="59">
        <f t="shared" si="17"/>
        <v>9</v>
      </c>
      <c r="AI145" s="89">
        <f t="shared" si="18"/>
        <v>8</v>
      </c>
      <c r="AJ145" s="103">
        <v>45626</v>
      </c>
      <c r="AK145" s="60" t="s">
        <v>961</v>
      </c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</row>
    <row r="146" spans="1:147" s="41" customFormat="1" ht="15.95" hidden="1" customHeight="1" x14ac:dyDescent="0.25">
      <c r="A146" s="55">
        <v>213</v>
      </c>
      <c r="B146" s="55" t="s">
        <v>27</v>
      </c>
      <c r="C146" s="55" t="s">
        <v>512</v>
      </c>
      <c r="D146" s="54" t="s">
        <v>934</v>
      </c>
      <c r="E146" s="55"/>
      <c r="F146" s="55" t="s">
        <v>28</v>
      </c>
      <c r="G146" s="55">
        <v>70042708</v>
      </c>
      <c r="H146" s="55" t="s">
        <v>189</v>
      </c>
      <c r="I146" s="55" t="s">
        <v>190</v>
      </c>
      <c r="J146" s="55" t="s">
        <v>188</v>
      </c>
      <c r="K146" s="56" t="str">
        <f t="shared" si="22"/>
        <v>VILCA AQUINO EVERY EULICES</v>
      </c>
      <c r="L146" s="55" t="s">
        <v>29</v>
      </c>
      <c r="M146" s="62">
        <v>34900</v>
      </c>
      <c r="N146" s="55">
        <v>961751206</v>
      </c>
      <c r="O146" s="63"/>
      <c r="P146" s="87" t="s">
        <v>30</v>
      </c>
      <c r="Q146" s="55" t="s">
        <v>27</v>
      </c>
      <c r="R146" s="64" t="s">
        <v>32</v>
      </c>
      <c r="S146" s="54">
        <v>20601242657</v>
      </c>
      <c r="T146" s="55" t="s">
        <v>33</v>
      </c>
      <c r="U146" s="54" t="s">
        <v>123</v>
      </c>
      <c r="V146" s="54" t="s">
        <v>109</v>
      </c>
      <c r="W146" s="55" t="s">
        <v>31</v>
      </c>
      <c r="X146" s="54" t="s">
        <v>510</v>
      </c>
      <c r="Y146" s="55" t="s">
        <v>31</v>
      </c>
      <c r="Z146" s="55" t="s">
        <v>31</v>
      </c>
      <c r="AA146" s="55" t="s">
        <v>31</v>
      </c>
      <c r="AB146" s="59">
        <f t="shared" si="21"/>
        <v>-96</v>
      </c>
      <c r="AC146" s="60" t="s">
        <v>111</v>
      </c>
      <c r="AD146" s="60" t="s">
        <v>27</v>
      </c>
      <c r="AE146" s="60"/>
      <c r="AF146" s="61">
        <v>45365</v>
      </c>
      <c r="AG146" s="59">
        <f t="shared" si="16"/>
        <v>0</v>
      </c>
      <c r="AH146" s="59">
        <f t="shared" si="17"/>
        <v>8</v>
      </c>
      <c r="AI146" s="89">
        <f t="shared" si="18"/>
        <v>28</v>
      </c>
      <c r="AJ146" s="103">
        <v>45638</v>
      </c>
      <c r="AK146" s="60" t="s">
        <v>1004</v>
      </c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</row>
    <row r="147" spans="1:147" s="41" customFormat="1" ht="15.95" hidden="1" customHeight="1" x14ac:dyDescent="0.25">
      <c r="A147" s="55">
        <v>192</v>
      </c>
      <c r="B147" s="55" t="s">
        <v>27</v>
      </c>
      <c r="C147" s="55" t="s">
        <v>512</v>
      </c>
      <c r="D147" s="55" t="s">
        <v>833</v>
      </c>
      <c r="E147" s="55"/>
      <c r="F147" s="55" t="s">
        <v>28</v>
      </c>
      <c r="G147" s="55">
        <v>70810310</v>
      </c>
      <c r="H147" s="55" t="s">
        <v>836</v>
      </c>
      <c r="I147" s="55" t="s">
        <v>837</v>
      </c>
      <c r="J147" s="55" t="s">
        <v>838</v>
      </c>
      <c r="K147" s="56" t="str">
        <f t="shared" si="22"/>
        <v>BARBOZA PEREZ JAHAN KLEIDER</v>
      </c>
      <c r="L147" s="55" t="s">
        <v>29</v>
      </c>
      <c r="M147" s="62">
        <v>37814</v>
      </c>
      <c r="N147" s="55">
        <v>903263898</v>
      </c>
      <c r="O147" s="63"/>
      <c r="P147" s="87" t="s">
        <v>30</v>
      </c>
      <c r="Q147" s="55" t="s">
        <v>27</v>
      </c>
      <c r="R147" s="64" t="s">
        <v>32</v>
      </c>
      <c r="S147" s="54">
        <v>20601242657</v>
      </c>
      <c r="T147" s="55" t="s">
        <v>33</v>
      </c>
      <c r="U147" s="54" t="s">
        <v>123</v>
      </c>
      <c r="V147" s="54" t="s">
        <v>935</v>
      </c>
      <c r="W147" s="55" t="s">
        <v>149</v>
      </c>
      <c r="X147" s="55" t="s">
        <v>839</v>
      </c>
      <c r="Y147" s="55" t="s">
        <v>840</v>
      </c>
      <c r="Z147" s="55" t="s">
        <v>149</v>
      </c>
      <c r="AA147" s="55" t="s">
        <v>149</v>
      </c>
      <c r="AB147" s="59">
        <f t="shared" si="21"/>
        <v>-104</v>
      </c>
      <c r="AC147" s="60" t="s">
        <v>34</v>
      </c>
      <c r="AD147" s="60" t="s">
        <v>27</v>
      </c>
      <c r="AE147" s="60"/>
      <c r="AF147" s="61">
        <v>45211</v>
      </c>
      <c r="AG147" s="59">
        <f t="shared" si="16"/>
        <v>1</v>
      </c>
      <c r="AH147" s="59">
        <f t="shared" si="17"/>
        <v>2</v>
      </c>
      <c r="AI147" s="89">
        <f t="shared" si="18"/>
        <v>0</v>
      </c>
      <c r="AJ147" s="103">
        <v>45638</v>
      </c>
      <c r="AK147" s="60" t="s">
        <v>962</v>
      </c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</row>
    <row r="148" spans="1:147" s="41" customFormat="1" ht="15.95" hidden="1" customHeight="1" x14ac:dyDescent="0.25">
      <c r="A148" s="55">
        <v>93</v>
      </c>
      <c r="B148" s="55" t="s">
        <v>27</v>
      </c>
      <c r="C148" s="54" t="s">
        <v>512</v>
      </c>
      <c r="D148" s="55" t="s">
        <v>517</v>
      </c>
      <c r="E148" s="55"/>
      <c r="F148" s="54" t="s">
        <v>28</v>
      </c>
      <c r="G148" s="55">
        <v>71251407</v>
      </c>
      <c r="H148" s="55" t="s">
        <v>504</v>
      </c>
      <c r="I148" s="55" t="s">
        <v>502</v>
      </c>
      <c r="J148" s="55" t="s">
        <v>505</v>
      </c>
      <c r="K148" s="56" t="str">
        <f t="shared" si="22"/>
        <v>MENDOZA  AGUILAR EFRAIN NOHELITO</v>
      </c>
      <c r="L148" s="54" t="s">
        <v>29</v>
      </c>
      <c r="M148" s="62">
        <v>36948</v>
      </c>
      <c r="N148" s="55">
        <v>973483769</v>
      </c>
      <c r="O148" s="63"/>
      <c r="P148" s="88" t="s">
        <v>30</v>
      </c>
      <c r="Q148" s="54" t="s">
        <v>27</v>
      </c>
      <c r="R148" s="64" t="s">
        <v>32</v>
      </c>
      <c r="S148" s="54">
        <v>20601242657</v>
      </c>
      <c r="T148" s="54" t="s">
        <v>33</v>
      </c>
      <c r="U148" s="54" t="s">
        <v>123</v>
      </c>
      <c r="V148" s="54" t="s">
        <v>935</v>
      </c>
      <c r="W148" s="55" t="s">
        <v>31</v>
      </c>
      <c r="X148" s="55" t="s">
        <v>506</v>
      </c>
      <c r="Y148" s="55" t="s">
        <v>507</v>
      </c>
      <c r="Z148" s="55" t="s">
        <v>31</v>
      </c>
      <c r="AA148" s="55" t="s">
        <v>31</v>
      </c>
      <c r="AB148" s="59">
        <f t="shared" si="21"/>
        <v>-102</v>
      </c>
      <c r="AC148" s="60" t="s">
        <v>111</v>
      </c>
      <c r="AD148" s="60" t="s">
        <v>27</v>
      </c>
      <c r="AE148" s="60"/>
      <c r="AF148" s="61">
        <v>44580</v>
      </c>
      <c r="AG148" s="59">
        <f t="shared" si="16"/>
        <v>2</v>
      </c>
      <c r="AH148" s="59">
        <f t="shared" si="17"/>
        <v>11</v>
      </c>
      <c r="AI148" s="89">
        <f t="shared" si="18"/>
        <v>8</v>
      </c>
      <c r="AJ148" s="103">
        <v>45653</v>
      </c>
      <c r="AK148" s="60" t="s">
        <v>1004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</row>
    <row r="149" spans="1:147" s="41" customFormat="1" ht="15.95" hidden="1" customHeight="1" x14ac:dyDescent="0.25">
      <c r="A149" s="55">
        <v>208</v>
      </c>
      <c r="B149" s="55" t="s">
        <v>27</v>
      </c>
      <c r="C149" s="54" t="s">
        <v>512</v>
      </c>
      <c r="D149" s="54" t="s">
        <v>927</v>
      </c>
      <c r="E149" s="55"/>
      <c r="F149" s="54" t="s">
        <v>28</v>
      </c>
      <c r="G149" s="55">
        <v>71766968</v>
      </c>
      <c r="H149" s="55" t="s">
        <v>51</v>
      </c>
      <c r="I149" s="55" t="s">
        <v>51</v>
      </c>
      <c r="J149" s="55" t="s">
        <v>904</v>
      </c>
      <c r="K149" s="56" t="str">
        <f t="shared" si="22"/>
        <v>CASTREJON CASTREJON JESÚS DAVID</v>
      </c>
      <c r="L149" s="54" t="s">
        <v>29</v>
      </c>
      <c r="M149" s="62">
        <v>36379</v>
      </c>
      <c r="N149" s="55">
        <v>910645090</v>
      </c>
      <c r="O149" s="63"/>
      <c r="P149" s="88" t="s">
        <v>30</v>
      </c>
      <c r="Q149" s="54" t="s">
        <v>27</v>
      </c>
      <c r="R149" s="64" t="s">
        <v>32</v>
      </c>
      <c r="S149" s="54">
        <v>20601242657</v>
      </c>
      <c r="T149" s="54" t="s">
        <v>33</v>
      </c>
      <c r="U149" s="54" t="s">
        <v>123</v>
      </c>
      <c r="V149" s="54" t="s">
        <v>935</v>
      </c>
      <c r="W149" s="55" t="s">
        <v>31</v>
      </c>
      <c r="X149" s="55" t="s">
        <v>905</v>
      </c>
      <c r="Y149" s="55" t="s">
        <v>31</v>
      </c>
      <c r="Z149" s="55" t="s">
        <v>31</v>
      </c>
      <c r="AA149" s="55" t="s">
        <v>31</v>
      </c>
      <c r="AB149" s="59">
        <f t="shared" si="21"/>
        <v>-100</v>
      </c>
      <c r="AC149" s="60" t="s">
        <v>111</v>
      </c>
      <c r="AD149" s="60" t="s">
        <v>27</v>
      </c>
      <c r="AE149" s="60"/>
      <c r="AF149" s="61">
        <v>45339</v>
      </c>
      <c r="AG149" s="59">
        <f t="shared" si="16"/>
        <v>0</v>
      </c>
      <c r="AH149" s="59">
        <f t="shared" si="17"/>
        <v>10</v>
      </c>
      <c r="AI149" s="89">
        <f t="shared" si="18"/>
        <v>13</v>
      </c>
      <c r="AJ149" s="103">
        <v>45656</v>
      </c>
      <c r="AK149" s="61" t="s">
        <v>1004</v>
      </c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</row>
    <row r="150" spans="1:147" s="41" customFormat="1" ht="15.95" hidden="1" customHeight="1" x14ac:dyDescent="0.25">
      <c r="A150" s="55">
        <v>154</v>
      </c>
      <c r="B150" s="55" t="s">
        <v>27</v>
      </c>
      <c r="C150" s="55" t="s">
        <v>512</v>
      </c>
      <c r="D150" s="55" t="s">
        <v>811</v>
      </c>
      <c r="E150" s="55"/>
      <c r="F150" s="55" t="s">
        <v>28</v>
      </c>
      <c r="G150" s="55">
        <v>74664055</v>
      </c>
      <c r="H150" s="55" t="s">
        <v>804</v>
      </c>
      <c r="I150" s="55" t="s">
        <v>805</v>
      </c>
      <c r="J150" s="55" t="s">
        <v>812</v>
      </c>
      <c r="K150" s="56" t="str">
        <f t="shared" si="22"/>
        <v>VILLANUEVA CHUQUIRUNA CRISTIAN LUIS</v>
      </c>
      <c r="L150" s="55" t="s">
        <v>29</v>
      </c>
      <c r="M150" s="62">
        <v>34946</v>
      </c>
      <c r="N150" s="55">
        <v>965912541</v>
      </c>
      <c r="O150" s="63"/>
      <c r="P150" s="87" t="s">
        <v>30</v>
      </c>
      <c r="Q150" s="55" t="s">
        <v>27</v>
      </c>
      <c r="R150" s="64" t="s">
        <v>32</v>
      </c>
      <c r="S150" s="54">
        <v>20601242657</v>
      </c>
      <c r="T150" s="55" t="s">
        <v>33</v>
      </c>
      <c r="U150" s="54" t="s">
        <v>123</v>
      </c>
      <c r="V150" s="54" t="s">
        <v>935</v>
      </c>
      <c r="W150" s="55" t="s">
        <v>31</v>
      </c>
      <c r="X150" s="54" t="s">
        <v>806</v>
      </c>
      <c r="Y150" s="55" t="s">
        <v>31</v>
      </c>
      <c r="Z150" s="55" t="s">
        <v>31</v>
      </c>
      <c r="AA150" s="55" t="s">
        <v>31</v>
      </c>
      <c r="AB150" s="59">
        <f t="shared" si="21"/>
        <v>-96</v>
      </c>
      <c r="AC150" s="60" t="s">
        <v>111</v>
      </c>
      <c r="AD150" s="60" t="s">
        <v>27</v>
      </c>
      <c r="AE150" s="60"/>
      <c r="AF150" s="61">
        <v>44881</v>
      </c>
      <c r="AG150" s="59">
        <f t="shared" si="16"/>
        <v>2</v>
      </c>
      <c r="AH150" s="59">
        <f t="shared" si="17"/>
        <v>1</v>
      </c>
      <c r="AI150" s="89">
        <f t="shared" si="18"/>
        <v>14</v>
      </c>
      <c r="AJ150" s="103">
        <v>45656</v>
      </c>
      <c r="AK150" s="60" t="s">
        <v>1004</v>
      </c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</row>
    <row r="151" spans="1:147" s="41" customFormat="1" ht="15.95" hidden="1" customHeight="1" x14ac:dyDescent="0.25">
      <c r="A151" s="55">
        <v>147</v>
      </c>
      <c r="B151" s="55" t="s">
        <v>27</v>
      </c>
      <c r="C151" s="55" t="s">
        <v>512</v>
      </c>
      <c r="D151" s="55" t="s">
        <v>810</v>
      </c>
      <c r="E151" s="55"/>
      <c r="F151" s="55" t="s">
        <v>28</v>
      </c>
      <c r="G151" s="55">
        <v>75089789</v>
      </c>
      <c r="H151" s="55" t="s">
        <v>807</v>
      </c>
      <c r="I151" s="55" t="s">
        <v>206</v>
      </c>
      <c r="J151" s="55" t="s">
        <v>808</v>
      </c>
      <c r="K151" s="56" t="str">
        <f t="shared" si="22"/>
        <v>MORENO CONDOR EDGAR FERNANDO</v>
      </c>
      <c r="L151" s="55" t="s">
        <v>29</v>
      </c>
      <c r="M151" s="62">
        <v>36191</v>
      </c>
      <c r="N151" s="55">
        <v>952783543</v>
      </c>
      <c r="O151" s="63"/>
      <c r="P151" s="87" t="s">
        <v>30</v>
      </c>
      <c r="Q151" s="55" t="s">
        <v>27</v>
      </c>
      <c r="R151" s="64" t="s">
        <v>32</v>
      </c>
      <c r="S151" s="54">
        <v>20601242657</v>
      </c>
      <c r="T151" s="55" t="s">
        <v>33</v>
      </c>
      <c r="U151" s="54" t="s">
        <v>123</v>
      </c>
      <c r="V151" s="54" t="s">
        <v>935</v>
      </c>
      <c r="W151" s="55" t="s">
        <v>31</v>
      </c>
      <c r="X151" s="55" t="s">
        <v>809</v>
      </c>
      <c r="Y151" s="55" t="s">
        <v>31</v>
      </c>
      <c r="Z151" s="55" t="s">
        <v>31</v>
      </c>
      <c r="AA151" s="55" t="s">
        <v>31</v>
      </c>
      <c r="AB151" s="59">
        <f t="shared" si="21"/>
        <v>-100</v>
      </c>
      <c r="AC151" s="60" t="s">
        <v>111</v>
      </c>
      <c r="AD151" s="60" t="s">
        <v>27</v>
      </c>
      <c r="AE151" s="60"/>
      <c r="AF151" s="61">
        <v>44881</v>
      </c>
      <c r="AG151" s="59">
        <f t="shared" si="16"/>
        <v>2</v>
      </c>
      <c r="AH151" s="59">
        <f t="shared" si="17"/>
        <v>1</v>
      </c>
      <c r="AI151" s="89">
        <f t="shared" si="18"/>
        <v>11</v>
      </c>
      <c r="AJ151" s="103">
        <v>45653</v>
      </c>
      <c r="AK151" s="60" t="s">
        <v>1004</v>
      </c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</row>
    <row r="152" spans="1:147" s="1" customFormat="1" ht="15.95" hidden="1" customHeight="1" x14ac:dyDescent="0.25">
      <c r="A152" s="54">
        <v>80</v>
      </c>
      <c r="B152" s="54" t="s">
        <v>27</v>
      </c>
      <c r="C152" s="54" t="s">
        <v>512</v>
      </c>
      <c r="D152" s="55" t="s">
        <v>425</v>
      </c>
      <c r="E152" s="55"/>
      <c r="F152" s="54" t="s">
        <v>28</v>
      </c>
      <c r="G152" s="55">
        <v>75475261</v>
      </c>
      <c r="H152" s="54" t="s">
        <v>422</v>
      </c>
      <c r="I152" s="54" t="s">
        <v>502</v>
      </c>
      <c r="J152" s="54" t="s">
        <v>423</v>
      </c>
      <c r="K152" s="56" t="str">
        <f t="shared" si="22"/>
        <v>CABANILLAS  AGUILAR CARLOS MAGNO</v>
      </c>
      <c r="L152" s="54" t="s">
        <v>29</v>
      </c>
      <c r="M152" s="57">
        <v>36800</v>
      </c>
      <c r="N152" s="54">
        <v>918393503</v>
      </c>
      <c r="O152" s="54"/>
      <c r="P152" s="88" t="s">
        <v>30</v>
      </c>
      <c r="Q152" s="54" t="s">
        <v>27</v>
      </c>
      <c r="R152" s="64" t="s">
        <v>32</v>
      </c>
      <c r="S152" s="54">
        <v>20601242657</v>
      </c>
      <c r="T152" s="54" t="s">
        <v>33</v>
      </c>
      <c r="U152" s="54" t="s">
        <v>123</v>
      </c>
      <c r="V152" s="54" t="s">
        <v>285</v>
      </c>
      <c r="W152" s="54" t="s">
        <v>31</v>
      </c>
      <c r="X152" s="54" t="s">
        <v>424</v>
      </c>
      <c r="Y152" s="54" t="s">
        <v>31</v>
      </c>
      <c r="Z152" s="54" t="s">
        <v>31</v>
      </c>
      <c r="AA152" s="54" t="s">
        <v>31</v>
      </c>
      <c r="AB152" s="59">
        <f t="shared" si="21"/>
        <v>-101</v>
      </c>
      <c r="AC152" s="60" t="s">
        <v>111</v>
      </c>
      <c r="AD152" s="60" t="s">
        <v>27</v>
      </c>
      <c r="AE152" s="60"/>
      <c r="AF152" s="61">
        <v>44461</v>
      </c>
      <c r="AG152" s="59">
        <f t="shared" si="16"/>
        <v>3</v>
      </c>
      <c r="AH152" s="59">
        <f t="shared" si="17"/>
        <v>3</v>
      </c>
      <c r="AI152" s="89">
        <f t="shared" si="18"/>
        <v>8</v>
      </c>
      <c r="AJ152" s="103">
        <v>45656</v>
      </c>
      <c r="AK152" s="60" t="s">
        <v>1004</v>
      </c>
    </row>
    <row r="153" spans="1:147" s="41" customFormat="1" ht="15.95" hidden="1" customHeight="1" x14ac:dyDescent="0.25">
      <c r="A153" s="55">
        <v>219</v>
      </c>
      <c r="B153" s="55" t="s">
        <v>27</v>
      </c>
      <c r="C153" s="54" t="s">
        <v>512</v>
      </c>
      <c r="D153" s="54" t="s">
        <v>952</v>
      </c>
      <c r="E153" s="55"/>
      <c r="F153" s="54" t="s">
        <v>28</v>
      </c>
      <c r="G153" s="55">
        <v>74278696</v>
      </c>
      <c r="H153" s="55" t="s">
        <v>945</v>
      </c>
      <c r="I153" s="55" t="s">
        <v>867</v>
      </c>
      <c r="J153" s="55" t="s">
        <v>946</v>
      </c>
      <c r="K153" s="56" t="str">
        <f t="shared" si="22"/>
        <v>DIAZ RAMOS NEIVER STALYN</v>
      </c>
      <c r="L153" s="54" t="s">
        <v>29</v>
      </c>
      <c r="M153" s="62">
        <v>35310</v>
      </c>
      <c r="N153" s="55">
        <v>923105324</v>
      </c>
      <c r="O153" s="63"/>
      <c r="P153" s="88" t="s">
        <v>30</v>
      </c>
      <c r="Q153" s="54" t="s">
        <v>27</v>
      </c>
      <c r="R153" s="64" t="s">
        <v>32</v>
      </c>
      <c r="S153" s="54">
        <v>20601242657</v>
      </c>
      <c r="T153" s="54" t="s">
        <v>33</v>
      </c>
      <c r="U153" s="54" t="s">
        <v>123</v>
      </c>
      <c r="V153" s="54" t="s">
        <v>935</v>
      </c>
      <c r="W153" s="55" t="s">
        <v>31</v>
      </c>
      <c r="X153" s="55" t="s">
        <v>943</v>
      </c>
      <c r="Y153" s="55" t="s">
        <v>31</v>
      </c>
      <c r="Z153" s="55" t="s">
        <v>31</v>
      </c>
      <c r="AA153" s="55" t="s">
        <v>31</v>
      </c>
      <c r="AB153" s="59">
        <f t="shared" si="21"/>
        <v>-97</v>
      </c>
      <c r="AC153" s="60" t="s">
        <v>111</v>
      </c>
      <c r="AD153" s="60" t="s">
        <v>27</v>
      </c>
      <c r="AE153" s="60"/>
      <c r="AF153" s="61">
        <v>45437</v>
      </c>
      <c r="AG153" s="59">
        <f t="shared" si="16"/>
        <v>0</v>
      </c>
      <c r="AH153" s="59">
        <f t="shared" si="17"/>
        <v>6</v>
      </c>
      <c r="AI153" s="89">
        <f t="shared" si="18"/>
        <v>10</v>
      </c>
      <c r="AJ153" s="103">
        <v>45631</v>
      </c>
      <c r="AK153" s="61" t="s">
        <v>1025</v>
      </c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</row>
    <row r="154" spans="1:147" s="41" customFormat="1" ht="15.95" hidden="1" customHeight="1" x14ac:dyDescent="0.25">
      <c r="A154" s="55">
        <v>211</v>
      </c>
      <c r="B154" s="55" t="s">
        <v>27</v>
      </c>
      <c r="C154" s="54" t="s">
        <v>512</v>
      </c>
      <c r="D154" s="54" t="s">
        <v>928</v>
      </c>
      <c r="E154" s="55"/>
      <c r="F154" s="54" t="s">
        <v>28</v>
      </c>
      <c r="G154" s="55">
        <v>70028805</v>
      </c>
      <c r="H154" s="55" t="s">
        <v>919</v>
      </c>
      <c r="I154" s="55" t="s">
        <v>69</v>
      </c>
      <c r="J154" s="55" t="s">
        <v>271</v>
      </c>
      <c r="K154" s="56" t="str">
        <f>CONCATENATE(H154," ",I154," ",J154)</f>
        <v xml:space="preserve">DUCOS CHILON JUAN </v>
      </c>
      <c r="L154" s="54" t="s">
        <v>29</v>
      </c>
      <c r="M154" s="62">
        <v>34748</v>
      </c>
      <c r="N154" s="55">
        <v>927089010</v>
      </c>
      <c r="O154" s="63"/>
      <c r="P154" s="88" t="s">
        <v>30</v>
      </c>
      <c r="Q154" s="54" t="s">
        <v>27</v>
      </c>
      <c r="R154" s="64" t="s">
        <v>32</v>
      </c>
      <c r="S154" s="54">
        <v>20601242657</v>
      </c>
      <c r="T154" s="54" t="s">
        <v>33</v>
      </c>
      <c r="U154" s="54" t="s">
        <v>123</v>
      </c>
      <c r="V154" s="54" t="s">
        <v>935</v>
      </c>
      <c r="W154" s="55" t="s">
        <v>31</v>
      </c>
      <c r="X154" s="55" t="s">
        <v>920</v>
      </c>
      <c r="Y154" s="55" t="s">
        <v>31</v>
      </c>
      <c r="Z154" s="55" t="s">
        <v>31</v>
      </c>
      <c r="AA154" s="55" t="s">
        <v>31</v>
      </c>
      <c r="AB154" s="59">
        <f>INT(($C$3-M154)/365)</f>
        <v>-96</v>
      </c>
      <c r="AC154" s="60" t="s">
        <v>111</v>
      </c>
      <c r="AD154" s="60" t="s">
        <v>27</v>
      </c>
      <c r="AE154" s="60"/>
      <c r="AF154" s="61">
        <v>45351</v>
      </c>
      <c r="AG154" s="59">
        <f t="shared" si="16"/>
        <v>1</v>
      </c>
      <c r="AH154" s="59">
        <f t="shared" si="17"/>
        <v>10</v>
      </c>
      <c r="AI154" s="89">
        <f t="shared" si="18"/>
        <v>2</v>
      </c>
      <c r="AJ154" s="61">
        <v>46022</v>
      </c>
      <c r="AK154" s="61" t="s">
        <v>1004</v>
      </c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</row>
    <row r="155" spans="1:147" s="41" customFormat="1" ht="15.95" hidden="1" customHeight="1" x14ac:dyDescent="0.3">
      <c r="A155" s="104">
        <v>222</v>
      </c>
      <c r="B155" s="55" t="s">
        <v>27</v>
      </c>
      <c r="C155" s="54" t="s">
        <v>512</v>
      </c>
      <c r="D155" s="54" t="s">
        <v>965</v>
      </c>
      <c r="E155" s="55"/>
      <c r="F155" s="54" t="s">
        <v>28</v>
      </c>
      <c r="G155" s="55">
        <v>45869085</v>
      </c>
      <c r="H155" s="55" t="s">
        <v>60</v>
      </c>
      <c r="I155" s="55" t="s">
        <v>963</v>
      </c>
      <c r="J155" s="55" t="s">
        <v>964</v>
      </c>
      <c r="K155" s="56" t="str">
        <f>CONCATENATE(H155," ",I155," ",J155)</f>
        <v>MENDOZA JIMENEZ RONAL</v>
      </c>
      <c r="L155" s="54" t="s">
        <v>29</v>
      </c>
      <c r="M155" s="62">
        <v>32616</v>
      </c>
      <c r="N155" s="55"/>
      <c r="O155" s="122" t="s">
        <v>1441</v>
      </c>
      <c r="P155" s="88" t="s">
        <v>30</v>
      </c>
      <c r="Q155" s="54" t="s">
        <v>27</v>
      </c>
      <c r="R155" s="64" t="s">
        <v>32</v>
      </c>
      <c r="S155" s="54">
        <v>20601242657</v>
      </c>
      <c r="T155" s="54" t="s">
        <v>33</v>
      </c>
      <c r="U155" s="54" t="s">
        <v>123</v>
      </c>
      <c r="V155" s="54" t="s">
        <v>935</v>
      </c>
      <c r="W155" s="55" t="s">
        <v>31</v>
      </c>
      <c r="X155" s="55" t="s">
        <v>975</v>
      </c>
      <c r="Y155" s="55" t="s">
        <v>976</v>
      </c>
      <c r="Z155" s="55" t="s">
        <v>654</v>
      </c>
      <c r="AA155" s="55" t="s">
        <v>31</v>
      </c>
      <c r="AB155" s="59">
        <f>INT(($C$3-M155)/365)</f>
        <v>-90</v>
      </c>
      <c r="AC155" s="60" t="s">
        <v>111</v>
      </c>
      <c r="AD155" s="60" t="s">
        <v>27</v>
      </c>
      <c r="AE155" s="60"/>
      <c r="AF155" s="61">
        <v>45533</v>
      </c>
      <c r="AG155" s="59">
        <f t="shared" si="16"/>
        <v>0</v>
      </c>
      <c r="AH155" s="59">
        <f t="shared" si="17"/>
        <v>4</v>
      </c>
      <c r="AI155" s="89">
        <f t="shared" si="18"/>
        <v>18</v>
      </c>
      <c r="AJ155" s="103">
        <v>45673</v>
      </c>
      <c r="AK155" s="60" t="s">
        <v>961</v>
      </c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</row>
    <row r="156" spans="1:147" s="41" customFormat="1" ht="15.95" hidden="1" customHeight="1" x14ac:dyDescent="0.25">
      <c r="A156" s="54">
        <v>229</v>
      </c>
      <c r="B156" s="54" t="s">
        <v>27</v>
      </c>
      <c r="C156" s="54" t="s">
        <v>512</v>
      </c>
      <c r="D156" s="54" t="s">
        <v>1005</v>
      </c>
      <c r="E156" s="55"/>
      <c r="F156" s="55" t="s">
        <v>28</v>
      </c>
      <c r="G156" s="55">
        <v>71808179</v>
      </c>
      <c r="H156" s="55" t="s">
        <v>189</v>
      </c>
      <c r="I156" s="55" t="s">
        <v>206</v>
      </c>
      <c r="J156" s="55" t="s">
        <v>1002</v>
      </c>
      <c r="K156" s="56" t="str">
        <f t="shared" ref="K156" si="23">CONCATENATE(H156," ",I156," ",J156)</f>
        <v>VILCA CONDOR JOSUE LUIS</v>
      </c>
      <c r="L156" s="55" t="s">
        <v>29</v>
      </c>
      <c r="M156" s="62">
        <v>36985</v>
      </c>
      <c r="N156" s="55">
        <v>979340248</v>
      </c>
      <c r="O156" s="63"/>
      <c r="P156" s="87" t="s">
        <v>30</v>
      </c>
      <c r="Q156" s="55" t="s">
        <v>27</v>
      </c>
      <c r="R156" s="64" t="s">
        <v>32</v>
      </c>
      <c r="S156" s="54">
        <v>20601242658</v>
      </c>
      <c r="T156" s="55" t="s">
        <v>33</v>
      </c>
      <c r="U156" s="54" t="s">
        <v>123</v>
      </c>
      <c r="V156" s="54" t="s">
        <v>935</v>
      </c>
      <c r="W156" s="55" t="s">
        <v>31</v>
      </c>
      <c r="X156" s="54" t="s">
        <v>510</v>
      </c>
      <c r="Y156" s="55" t="s">
        <v>509</v>
      </c>
      <c r="Z156" s="55" t="s">
        <v>31</v>
      </c>
      <c r="AA156" s="55" t="s">
        <v>31</v>
      </c>
      <c r="AB156" s="59">
        <f t="shared" ref="AB156" si="24">INT(($C$3-M156)/365)</f>
        <v>-102</v>
      </c>
      <c r="AC156" s="60" t="s">
        <v>111</v>
      </c>
      <c r="AD156" s="60" t="s">
        <v>27</v>
      </c>
      <c r="AE156" s="60"/>
      <c r="AF156" s="61">
        <v>45610</v>
      </c>
      <c r="AG156" s="59">
        <f t="shared" si="16"/>
        <v>0</v>
      </c>
      <c r="AH156" s="59">
        <f t="shared" si="17"/>
        <v>2</v>
      </c>
      <c r="AI156" s="89">
        <f t="shared" si="18"/>
        <v>2</v>
      </c>
      <c r="AJ156" s="103">
        <v>45673</v>
      </c>
      <c r="AK156" s="60" t="s">
        <v>1025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</row>
    <row r="157" spans="1:147" s="41" customFormat="1" ht="15.95" hidden="1" customHeight="1" x14ac:dyDescent="0.25">
      <c r="A157" s="55">
        <v>110</v>
      </c>
      <c r="B157" s="55" t="s">
        <v>27</v>
      </c>
      <c r="C157" s="55" t="s">
        <v>512</v>
      </c>
      <c r="D157" s="55" t="s">
        <v>599</v>
      </c>
      <c r="E157" s="55"/>
      <c r="F157" s="55" t="s">
        <v>28</v>
      </c>
      <c r="G157" s="55">
        <v>75794041</v>
      </c>
      <c r="H157" s="55" t="s">
        <v>575</v>
      </c>
      <c r="I157" s="55" t="s">
        <v>576</v>
      </c>
      <c r="J157" s="55" t="s">
        <v>577</v>
      </c>
      <c r="K157" s="56" t="str">
        <f t="shared" ref="K157:K162" si="25">CONCATENATE(H157," ",I157," ",J157)</f>
        <v>RUIZ  URIARTE  DARWIN</v>
      </c>
      <c r="L157" s="55" t="s">
        <v>29</v>
      </c>
      <c r="M157" s="62">
        <v>35996</v>
      </c>
      <c r="N157" s="55">
        <v>986231664</v>
      </c>
      <c r="O157" s="63"/>
      <c r="P157" s="87" t="s">
        <v>30</v>
      </c>
      <c r="Q157" s="55" t="s">
        <v>27</v>
      </c>
      <c r="R157" s="64" t="s">
        <v>32</v>
      </c>
      <c r="S157" s="54">
        <v>20601242657</v>
      </c>
      <c r="T157" s="55" t="s">
        <v>33</v>
      </c>
      <c r="U157" s="54" t="s">
        <v>123</v>
      </c>
      <c r="V157" s="54" t="s">
        <v>285</v>
      </c>
      <c r="W157" s="55" t="s">
        <v>31</v>
      </c>
      <c r="X157" s="54" t="s">
        <v>593</v>
      </c>
      <c r="Y157" s="55" t="s">
        <v>31</v>
      </c>
      <c r="Z157" s="55" t="s">
        <v>31</v>
      </c>
      <c r="AA157" s="55" t="s">
        <v>31</v>
      </c>
      <c r="AB157" s="59">
        <f>INT(($C$3-M157)/365)</f>
        <v>-99</v>
      </c>
      <c r="AC157" s="60" t="s">
        <v>111</v>
      </c>
      <c r="AD157" s="60" t="s">
        <v>27</v>
      </c>
      <c r="AE157" s="60"/>
      <c r="AF157" s="61">
        <v>44804</v>
      </c>
      <c r="AG157" s="59">
        <f t="shared" si="16"/>
        <v>2</v>
      </c>
      <c r="AH157" s="59">
        <f t="shared" si="17"/>
        <v>4</v>
      </c>
      <c r="AI157" s="89">
        <f t="shared" si="18"/>
        <v>16</v>
      </c>
      <c r="AJ157" s="103">
        <v>45673</v>
      </c>
      <c r="AK157" s="60" t="s">
        <v>1025</v>
      </c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</row>
    <row r="158" spans="1:147" s="41" customFormat="1" ht="15.95" hidden="1" customHeight="1" x14ac:dyDescent="0.25">
      <c r="A158" s="55">
        <v>190</v>
      </c>
      <c r="B158" s="55" t="s">
        <v>27</v>
      </c>
      <c r="C158" s="55" t="s">
        <v>512</v>
      </c>
      <c r="D158" s="55" t="s">
        <v>834</v>
      </c>
      <c r="E158" s="55"/>
      <c r="F158" s="55" t="s">
        <v>28</v>
      </c>
      <c r="G158" s="55">
        <v>74083937</v>
      </c>
      <c r="H158" s="55" t="s">
        <v>841</v>
      </c>
      <c r="I158" s="55" t="s">
        <v>842</v>
      </c>
      <c r="J158" s="55" t="s">
        <v>843</v>
      </c>
      <c r="K158" s="56" t="str">
        <f t="shared" si="25"/>
        <v>PISCO PINEDO WILSON EMERSON</v>
      </c>
      <c r="L158" s="55" t="s">
        <v>29</v>
      </c>
      <c r="M158" s="62">
        <v>36856</v>
      </c>
      <c r="N158" s="55">
        <v>997257169</v>
      </c>
      <c r="O158" s="63"/>
      <c r="P158" s="87" t="s">
        <v>30</v>
      </c>
      <c r="Q158" s="55" t="s">
        <v>27</v>
      </c>
      <c r="R158" s="64" t="s">
        <v>32</v>
      </c>
      <c r="S158" s="54">
        <v>20601242657</v>
      </c>
      <c r="T158" s="55" t="s">
        <v>33</v>
      </c>
      <c r="U158" s="54" t="s">
        <v>123</v>
      </c>
      <c r="V158" s="54" t="s">
        <v>935</v>
      </c>
      <c r="W158" s="55" t="s">
        <v>31</v>
      </c>
      <c r="X158" s="55" t="s">
        <v>845</v>
      </c>
      <c r="Y158" s="55" t="s">
        <v>31</v>
      </c>
      <c r="Z158" s="55" t="s">
        <v>31</v>
      </c>
      <c r="AA158" s="55" t="s">
        <v>31</v>
      </c>
      <c r="AB158" s="59">
        <f>INT(($C$3-M158)/365)</f>
        <v>-101</v>
      </c>
      <c r="AC158" s="60" t="s">
        <v>111</v>
      </c>
      <c r="AD158" s="60" t="s">
        <v>27</v>
      </c>
      <c r="AE158" s="60"/>
      <c r="AF158" s="61">
        <v>45210</v>
      </c>
      <c r="AG158" s="59">
        <f>DATEDIF(AF158,AJ158,"Y")</f>
        <v>1</v>
      </c>
      <c r="AH158" s="59">
        <f t="shared" si="17"/>
        <v>3</v>
      </c>
      <c r="AI158" s="89">
        <f t="shared" si="18"/>
        <v>5</v>
      </c>
      <c r="AJ158" s="103">
        <v>45673</v>
      </c>
      <c r="AK158" s="60" t="s">
        <v>1025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</row>
    <row r="159" spans="1:147" s="41" customFormat="1" ht="15.95" hidden="1" customHeight="1" x14ac:dyDescent="0.25">
      <c r="A159" s="55">
        <v>95</v>
      </c>
      <c r="B159" s="55" t="s">
        <v>27</v>
      </c>
      <c r="C159" s="54" t="s">
        <v>512</v>
      </c>
      <c r="D159" s="55" t="s">
        <v>932</v>
      </c>
      <c r="E159" s="55"/>
      <c r="F159" s="54" t="s">
        <v>28</v>
      </c>
      <c r="G159" s="55">
        <v>71758326</v>
      </c>
      <c r="H159" s="55" t="s">
        <v>189</v>
      </c>
      <c r="I159" s="55" t="s">
        <v>190</v>
      </c>
      <c r="J159" s="55" t="s">
        <v>508</v>
      </c>
      <c r="K159" s="56" t="str">
        <f t="shared" si="25"/>
        <v>VILCA AQUINO PERCY ELVIS</v>
      </c>
      <c r="L159" s="54" t="s">
        <v>29</v>
      </c>
      <c r="M159" s="62">
        <v>35701</v>
      </c>
      <c r="N159" s="55">
        <v>981724630</v>
      </c>
      <c r="O159" s="63"/>
      <c r="P159" s="88" t="s">
        <v>30</v>
      </c>
      <c r="Q159" s="54" t="s">
        <v>27</v>
      </c>
      <c r="R159" s="64" t="s">
        <v>32</v>
      </c>
      <c r="S159" s="54">
        <v>20601242657</v>
      </c>
      <c r="T159" s="54" t="s">
        <v>33</v>
      </c>
      <c r="U159" s="54" t="s">
        <v>123</v>
      </c>
      <c r="V159" s="54" t="s">
        <v>109</v>
      </c>
      <c r="W159" s="55" t="s">
        <v>31</v>
      </c>
      <c r="X159" s="55" t="s">
        <v>510</v>
      </c>
      <c r="Y159" s="55" t="s">
        <v>509</v>
      </c>
      <c r="Z159" s="55" t="s">
        <v>31</v>
      </c>
      <c r="AA159" s="55" t="s">
        <v>31</v>
      </c>
      <c r="AB159" s="59">
        <f>INT(($C$3-M159)/365)</f>
        <v>-98</v>
      </c>
      <c r="AC159" s="60" t="s">
        <v>111</v>
      </c>
      <c r="AD159" s="60" t="s">
        <v>27</v>
      </c>
      <c r="AE159" s="60"/>
      <c r="AF159" s="61">
        <v>44580</v>
      </c>
      <c r="AG159" s="59">
        <f t="shared" si="16"/>
        <v>2</v>
      </c>
      <c r="AH159" s="59">
        <f t="shared" si="17"/>
        <v>11</v>
      </c>
      <c r="AI159" s="89">
        <f t="shared" si="18"/>
        <v>12</v>
      </c>
      <c r="AJ159" s="116">
        <v>45657</v>
      </c>
      <c r="AK159" s="60" t="s">
        <v>1004</v>
      </c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</row>
    <row r="160" spans="1:147" s="41" customFormat="1" ht="31.5" hidden="1" x14ac:dyDescent="0.25">
      <c r="A160" s="55">
        <v>239</v>
      </c>
      <c r="B160" s="55" t="s">
        <v>27</v>
      </c>
      <c r="C160" s="55" t="s">
        <v>512</v>
      </c>
      <c r="D160" s="55" t="s">
        <v>1099</v>
      </c>
      <c r="E160" s="55"/>
      <c r="F160" s="55" t="s">
        <v>28</v>
      </c>
      <c r="G160" s="55">
        <v>75557705</v>
      </c>
      <c r="H160" s="55" t="s">
        <v>1086</v>
      </c>
      <c r="I160" s="55" t="s">
        <v>1087</v>
      </c>
      <c r="J160" s="55" t="s">
        <v>1119</v>
      </c>
      <c r="K160" s="56" t="str">
        <f t="shared" si="25"/>
        <v>SOSA LOAYSA ESTEBAN ELIAS</v>
      </c>
      <c r="L160" s="55" t="s">
        <v>29</v>
      </c>
      <c r="M160" s="62">
        <v>35877</v>
      </c>
      <c r="N160" s="55">
        <v>996160241</v>
      </c>
      <c r="O160" s="63"/>
      <c r="P160" s="87" t="s">
        <v>30</v>
      </c>
      <c r="Q160" s="55" t="s">
        <v>27</v>
      </c>
      <c r="R160" s="64" t="s">
        <v>32</v>
      </c>
      <c r="S160" s="54">
        <v>20601242659</v>
      </c>
      <c r="T160" s="55" t="s">
        <v>33</v>
      </c>
      <c r="U160" s="54" t="s">
        <v>123</v>
      </c>
      <c r="V160" s="54" t="s">
        <v>935</v>
      </c>
      <c r="W160" s="55" t="s">
        <v>149</v>
      </c>
      <c r="X160" s="55" t="s">
        <v>1088</v>
      </c>
      <c r="Y160" s="55" t="s">
        <v>149</v>
      </c>
      <c r="Z160" s="55" t="s">
        <v>1089</v>
      </c>
      <c r="AA160" s="55" t="s">
        <v>149</v>
      </c>
      <c r="AB160" s="59">
        <f>INT(('PERSONAL ACTIVO'!$C$3-M160)/365)</f>
        <v>-99</v>
      </c>
      <c r="AC160" s="60" t="s">
        <v>34</v>
      </c>
      <c r="AD160" s="60" t="s">
        <v>27</v>
      </c>
      <c r="AE160" s="60"/>
      <c r="AF160" s="65">
        <v>45687</v>
      </c>
      <c r="AG160" s="59">
        <f t="shared" si="16"/>
        <v>0</v>
      </c>
      <c r="AH160" s="59">
        <f t="shared" si="17"/>
        <v>1</v>
      </c>
      <c r="AI160" s="89">
        <f t="shared" si="18"/>
        <v>1</v>
      </c>
      <c r="AJ160" s="103">
        <v>45719</v>
      </c>
      <c r="AK160" s="60" t="s">
        <v>961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</row>
    <row r="161" spans="1:147" s="41" customFormat="1" ht="31.5" hidden="1" x14ac:dyDescent="0.25">
      <c r="A161" s="55">
        <v>230</v>
      </c>
      <c r="B161" s="55" t="s">
        <v>27</v>
      </c>
      <c r="C161" s="55" t="s">
        <v>512</v>
      </c>
      <c r="D161" s="55" t="s">
        <v>1024</v>
      </c>
      <c r="E161" s="55"/>
      <c r="F161" s="55" t="s">
        <v>28</v>
      </c>
      <c r="G161" s="55">
        <v>47560304</v>
      </c>
      <c r="H161" s="55" t="s">
        <v>185</v>
      </c>
      <c r="I161" s="55" t="s">
        <v>1017</v>
      </c>
      <c r="J161" s="55" t="s">
        <v>1018</v>
      </c>
      <c r="K161" s="56" t="str">
        <f t="shared" si="25"/>
        <v>LLANOS RUDAS  BLADIMIR CARLOS</v>
      </c>
      <c r="L161" s="55" t="s">
        <v>29</v>
      </c>
      <c r="M161" s="62">
        <v>33886</v>
      </c>
      <c r="N161" s="55">
        <v>977665078</v>
      </c>
      <c r="O161" s="63"/>
      <c r="P161" s="87" t="s">
        <v>30</v>
      </c>
      <c r="Q161" s="55" t="s">
        <v>27</v>
      </c>
      <c r="R161" s="64" t="s">
        <v>32</v>
      </c>
      <c r="S161" s="54">
        <v>20601242658</v>
      </c>
      <c r="T161" s="55" t="s">
        <v>33</v>
      </c>
      <c r="U161" s="54" t="s">
        <v>123</v>
      </c>
      <c r="V161" s="54" t="s">
        <v>935</v>
      </c>
      <c r="W161" s="55" t="s">
        <v>31</v>
      </c>
      <c r="X161" s="54" t="s">
        <v>1016</v>
      </c>
      <c r="Y161" s="55" t="s">
        <v>1015</v>
      </c>
      <c r="Z161" s="55" t="s">
        <v>1014</v>
      </c>
      <c r="AA161" s="55" t="s">
        <v>31</v>
      </c>
      <c r="AB161" s="59">
        <f>INT(('PERSONAL ACTIVO'!$C$3-M161)/365)</f>
        <v>-93</v>
      </c>
      <c r="AC161" s="60" t="s">
        <v>111</v>
      </c>
      <c r="AD161" s="60" t="s">
        <v>27</v>
      </c>
      <c r="AE161" s="60"/>
      <c r="AF161" s="61">
        <v>45648</v>
      </c>
      <c r="AG161" s="59">
        <f t="shared" si="16"/>
        <v>0</v>
      </c>
      <c r="AH161" s="59">
        <f t="shared" si="17"/>
        <v>2</v>
      </c>
      <c r="AI161" s="89">
        <f t="shared" si="18"/>
        <v>16</v>
      </c>
      <c r="AJ161" s="103">
        <v>45726</v>
      </c>
      <c r="AK161" s="60" t="s">
        <v>961</v>
      </c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</row>
    <row r="162" spans="1:147" s="41" customFormat="1" ht="31.5" hidden="1" x14ac:dyDescent="0.25">
      <c r="A162" s="101">
        <v>234</v>
      </c>
      <c r="B162" s="55" t="s">
        <v>27</v>
      </c>
      <c r="C162" s="55" t="s">
        <v>512</v>
      </c>
      <c r="D162" s="54" t="s">
        <v>1072</v>
      </c>
      <c r="E162" s="55"/>
      <c r="F162" s="55" t="s">
        <v>28</v>
      </c>
      <c r="G162" s="55">
        <v>72140896</v>
      </c>
      <c r="H162" s="55" t="s">
        <v>1069</v>
      </c>
      <c r="I162" s="55" t="s">
        <v>439</v>
      </c>
      <c r="J162" s="55" t="s">
        <v>1070</v>
      </c>
      <c r="K162" s="56" t="str">
        <f t="shared" si="25"/>
        <v>PALOMINO QUISPE WILSON EDUIN</v>
      </c>
      <c r="L162" s="55" t="s">
        <v>29</v>
      </c>
      <c r="M162" s="62">
        <v>37161</v>
      </c>
      <c r="N162" s="55">
        <v>920401001</v>
      </c>
      <c r="O162" s="63"/>
      <c r="P162" s="88" t="s">
        <v>30</v>
      </c>
      <c r="Q162" s="55" t="s">
        <v>27</v>
      </c>
      <c r="R162" s="64" t="s">
        <v>32</v>
      </c>
      <c r="S162" s="54">
        <v>20601242658</v>
      </c>
      <c r="T162" s="55" t="s">
        <v>33</v>
      </c>
      <c r="U162" s="54" t="s">
        <v>123</v>
      </c>
      <c r="V162" s="54" t="s">
        <v>935</v>
      </c>
      <c r="W162" s="55" t="s">
        <v>31</v>
      </c>
      <c r="X162" s="54" t="s">
        <v>1071</v>
      </c>
      <c r="Y162" s="55" t="s">
        <v>31</v>
      </c>
      <c r="Z162" s="55" t="s">
        <v>31</v>
      </c>
      <c r="AA162" s="55" t="s">
        <v>31</v>
      </c>
      <c r="AB162" s="59">
        <f>INT(('PERSONAL ACTIVO'!$C$3-M162)/365)</f>
        <v>-102</v>
      </c>
      <c r="AC162" s="60" t="s">
        <v>111</v>
      </c>
      <c r="AD162" s="60" t="s">
        <v>27</v>
      </c>
      <c r="AE162" s="60"/>
      <c r="AF162" s="61">
        <v>45680</v>
      </c>
      <c r="AG162" s="59">
        <f t="shared" si="16"/>
        <v>0</v>
      </c>
      <c r="AH162" s="59">
        <f t="shared" si="17"/>
        <v>1</v>
      </c>
      <c r="AI162" s="89">
        <f t="shared" si="18"/>
        <v>17</v>
      </c>
      <c r="AJ162" s="103">
        <v>45728</v>
      </c>
      <c r="AK162" s="60" t="s">
        <v>961</v>
      </c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</row>
    <row r="163" spans="1:147" s="41" customFormat="1" ht="31.5" hidden="1" x14ac:dyDescent="0.25">
      <c r="A163" s="55">
        <v>226</v>
      </c>
      <c r="B163" s="55" t="s">
        <v>27</v>
      </c>
      <c r="C163" s="54" t="s">
        <v>512</v>
      </c>
      <c r="D163" s="54" t="s">
        <v>998</v>
      </c>
      <c r="E163" s="55"/>
      <c r="F163" s="54" t="s">
        <v>28</v>
      </c>
      <c r="G163" s="55">
        <v>72467255</v>
      </c>
      <c r="H163" s="55" t="s">
        <v>732</v>
      </c>
      <c r="I163" s="55" t="s">
        <v>983</v>
      </c>
      <c r="J163" s="55" t="s">
        <v>984</v>
      </c>
      <c r="K163" s="56" t="str">
        <f>CONCATENATE(H163," ",I163," ",J163)</f>
        <v>CHAVEZ NORIEGA GUSMAN</v>
      </c>
      <c r="L163" s="54" t="s">
        <v>29</v>
      </c>
      <c r="M163" s="62">
        <v>36891</v>
      </c>
      <c r="N163" s="55">
        <v>921841944</v>
      </c>
      <c r="O163" s="63"/>
      <c r="P163" s="88" t="s">
        <v>30</v>
      </c>
      <c r="Q163" s="54" t="s">
        <v>27</v>
      </c>
      <c r="R163" s="64" t="s">
        <v>32</v>
      </c>
      <c r="S163" s="54">
        <v>20601242658</v>
      </c>
      <c r="T163" s="54" t="s">
        <v>33</v>
      </c>
      <c r="U163" s="54" t="s">
        <v>123</v>
      </c>
      <c r="V163" s="54" t="s">
        <v>935</v>
      </c>
      <c r="W163" s="55" t="s">
        <v>31</v>
      </c>
      <c r="X163" s="55" t="s">
        <v>986</v>
      </c>
      <c r="Y163" s="55" t="s">
        <v>985</v>
      </c>
      <c r="Z163" s="55" t="s">
        <v>31</v>
      </c>
      <c r="AA163" s="55" t="s">
        <v>31</v>
      </c>
      <c r="AB163" s="59">
        <f>INT(('PERSONAL ACTIVO'!$C$3-M163)/365)</f>
        <v>-102</v>
      </c>
      <c r="AC163" s="60" t="s">
        <v>111</v>
      </c>
      <c r="AD163" s="60" t="s">
        <v>27</v>
      </c>
      <c r="AE163" s="60"/>
      <c r="AF163" s="61">
        <v>45603</v>
      </c>
      <c r="AG163" s="59">
        <f t="shared" si="16"/>
        <v>0</v>
      </c>
      <c r="AH163" s="59">
        <f t="shared" si="17"/>
        <v>4</v>
      </c>
      <c r="AI163" s="89">
        <f t="shared" si="18"/>
        <v>12</v>
      </c>
      <c r="AJ163" s="116">
        <v>45735</v>
      </c>
      <c r="AK163" s="116" t="s">
        <v>962</v>
      </c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</row>
    <row r="164" spans="1:147" s="41" customFormat="1" ht="31.5" hidden="1" x14ac:dyDescent="0.25">
      <c r="A164" s="55">
        <v>240</v>
      </c>
      <c r="B164" s="55" t="s">
        <v>27</v>
      </c>
      <c r="C164" s="54" t="s">
        <v>512</v>
      </c>
      <c r="D164" s="54" t="s">
        <v>1109</v>
      </c>
      <c r="E164" s="55"/>
      <c r="F164" s="54" t="s">
        <v>28</v>
      </c>
      <c r="G164" s="55">
        <v>75141452</v>
      </c>
      <c r="H164" s="55" t="s">
        <v>1103</v>
      </c>
      <c r="I164" s="55" t="s">
        <v>853</v>
      </c>
      <c r="J164" s="55" t="s">
        <v>1105</v>
      </c>
      <c r="K164" s="56" t="str">
        <f>CONCATENATE(H164," ",I164," ",J164)</f>
        <v>DELAO TORRES NELSON</v>
      </c>
      <c r="L164" s="54" t="s">
        <v>29</v>
      </c>
      <c r="M164" s="62">
        <v>35069</v>
      </c>
      <c r="N164" s="55">
        <v>918922055</v>
      </c>
      <c r="O164" s="63"/>
      <c r="P164" s="88" t="s">
        <v>30</v>
      </c>
      <c r="Q164" s="54" t="s">
        <v>27</v>
      </c>
      <c r="R164" s="64" t="s">
        <v>32</v>
      </c>
      <c r="S164" s="54">
        <v>20601242661</v>
      </c>
      <c r="T164" s="54" t="s">
        <v>33</v>
      </c>
      <c r="U164" s="54" t="s">
        <v>123</v>
      </c>
      <c r="V164" s="54" t="s">
        <v>935</v>
      </c>
      <c r="W164" s="55" t="s">
        <v>37</v>
      </c>
      <c r="X164" s="55" t="s">
        <v>1101</v>
      </c>
      <c r="Y164" s="55" t="s">
        <v>1100</v>
      </c>
      <c r="Z164" s="55" t="s">
        <v>37</v>
      </c>
      <c r="AA164" s="55" t="s">
        <v>37</v>
      </c>
      <c r="AB164" s="59">
        <f>INT(('PERSONAL ACTIVO'!$C$3-M164)/365)</f>
        <v>-97</v>
      </c>
      <c r="AC164" s="60" t="s">
        <v>34</v>
      </c>
      <c r="AD164" s="60" t="s">
        <v>27</v>
      </c>
      <c r="AE164" s="60"/>
      <c r="AF164" s="61">
        <v>45694</v>
      </c>
      <c r="AG164" s="59">
        <f t="shared" si="16"/>
        <v>0</v>
      </c>
      <c r="AH164" s="59">
        <f t="shared" si="17"/>
        <v>1</v>
      </c>
      <c r="AI164" s="89">
        <f t="shared" si="18"/>
        <v>25</v>
      </c>
      <c r="AJ164" s="116">
        <v>45747</v>
      </c>
      <c r="AK164" s="116" t="s">
        <v>961</v>
      </c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</row>
    <row r="165" spans="1:147" s="41" customFormat="1" ht="31.5" hidden="1" x14ac:dyDescent="0.25">
      <c r="A165" s="55">
        <v>243</v>
      </c>
      <c r="B165" s="55" t="s">
        <v>27</v>
      </c>
      <c r="C165" s="55" t="s">
        <v>512</v>
      </c>
      <c r="D165" s="55" t="s">
        <v>1113</v>
      </c>
      <c r="E165" s="55"/>
      <c r="F165" s="55" t="s">
        <v>28</v>
      </c>
      <c r="G165" s="55">
        <v>74240228</v>
      </c>
      <c r="H165" s="55" t="s">
        <v>1114</v>
      </c>
      <c r="I165" s="55" t="s">
        <v>1115</v>
      </c>
      <c r="J165" s="55" t="s">
        <v>1116</v>
      </c>
      <c r="K165" s="56" t="str">
        <f>CONCATENATE(H165," ",I165," ",J165)</f>
        <v>ADRIANO CERVANTES DANIEL</v>
      </c>
      <c r="L165" s="55" t="s">
        <v>29</v>
      </c>
      <c r="M165" s="62">
        <v>35236</v>
      </c>
      <c r="N165" s="55"/>
      <c r="O165" s="63"/>
      <c r="P165" s="87" t="s">
        <v>30</v>
      </c>
      <c r="Q165" s="55" t="s">
        <v>27</v>
      </c>
      <c r="R165" s="64" t="s">
        <v>32</v>
      </c>
      <c r="S165" s="54">
        <v>20601242658</v>
      </c>
      <c r="T165" s="55" t="s">
        <v>33</v>
      </c>
      <c r="U165" s="54" t="s">
        <v>123</v>
      </c>
      <c r="V165" s="54" t="s">
        <v>935</v>
      </c>
      <c r="W165" s="55" t="s">
        <v>37</v>
      </c>
      <c r="X165" s="55" t="s">
        <v>1117</v>
      </c>
      <c r="Y165" s="55" t="s">
        <v>1118</v>
      </c>
      <c r="Z165" s="55" t="s">
        <v>37</v>
      </c>
      <c r="AA165" s="55" t="s">
        <v>37</v>
      </c>
      <c r="AB165" s="59">
        <f>INT(('PERSONAL ACTIVO'!$C$3-M165)/365)</f>
        <v>-97</v>
      </c>
      <c r="AC165" s="60" t="s">
        <v>34</v>
      </c>
      <c r="AD165" s="60" t="s">
        <v>27</v>
      </c>
      <c r="AE165" s="60"/>
      <c r="AF165" s="65">
        <v>45701</v>
      </c>
      <c r="AG165" s="59">
        <f t="shared" si="16"/>
        <v>0</v>
      </c>
      <c r="AH165" s="59">
        <f t="shared" si="17"/>
        <v>1</v>
      </c>
      <c r="AI165" s="89">
        <f t="shared" si="18"/>
        <v>18</v>
      </c>
      <c r="AJ165" s="103">
        <v>45747</v>
      </c>
      <c r="AK165" s="60" t="s">
        <v>961</v>
      </c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</row>
    <row r="166" spans="1:147" s="41" customFormat="1" ht="31.5" hidden="1" x14ac:dyDescent="0.25">
      <c r="A166" s="55"/>
      <c r="B166" s="55" t="s">
        <v>27</v>
      </c>
      <c r="C166" s="54" t="s">
        <v>512</v>
      </c>
      <c r="D166" s="90"/>
      <c r="E166" s="55"/>
      <c r="F166" s="54" t="s">
        <v>28</v>
      </c>
      <c r="G166" s="55">
        <v>74885500</v>
      </c>
      <c r="H166" s="55" t="s">
        <v>35</v>
      </c>
      <c r="I166" s="55" t="s">
        <v>1126</v>
      </c>
      <c r="J166" s="55" t="s">
        <v>644</v>
      </c>
      <c r="K166" s="56" t="str">
        <f t="shared" ref="K166" si="26">CONCATENATE(H166," ",I166," ",J166)</f>
        <v>CUEVA HUANGAL ABDIAS</v>
      </c>
      <c r="L166" s="54" t="s">
        <v>29</v>
      </c>
      <c r="M166" s="62">
        <v>36987</v>
      </c>
      <c r="N166" s="55"/>
      <c r="O166" s="63"/>
      <c r="P166" s="88" t="s">
        <v>30</v>
      </c>
      <c r="Q166" s="54" t="s">
        <v>27</v>
      </c>
      <c r="R166" s="64" t="s">
        <v>32</v>
      </c>
      <c r="S166" s="54">
        <v>20601242660</v>
      </c>
      <c r="T166" s="54" t="s">
        <v>33</v>
      </c>
      <c r="U166" s="54" t="s">
        <v>123</v>
      </c>
      <c r="V166" s="54" t="s">
        <v>935</v>
      </c>
      <c r="W166" s="55" t="s">
        <v>31</v>
      </c>
      <c r="X166" s="55" t="s">
        <v>1127</v>
      </c>
      <c r="Y166" s="55" t="s">
        <v>31</v>
      </c>
      <c r="Z166" s="55" t="s">
        <v>31</v>
      </c>
      <c r="AA166" s="55" t="s">
        <v>31</v>
      </c>
      <c r="AB166" s="59">
        <f t="shared" ref="AB166" si="27">INT(($C$3-M166)/365)</f>
        <v>-102</v>
      </c>
      <c r="AC166" s="60" t="s">
        <v>111</v>
      </c>
      <c r="AD166" s="60" t="s">
        <v>27</v>
      </c>
      <c r="AE166" s="60"/>
      <c r="AF166" s="61">
        <v>45729</v>
      </c>
      <c r="AG166" s="59">
        <f t="shared" ref="AG166" ca="1" si="28">DATEDIF(AF166,TODAY(),"Y")</f>
        <v>0</v>
      </c>
      <c r="AH166" s="59">
        <f t="shared" ref="AH166" ca="1" si="29">DATEDIF(AF166,TODAY(),"YM")</f>
        <v>10</v>
      </c>
      <c r="AI166" s="89">
        <f t="shared" ref="AI166" ca="1" si="30">DATEDIF(AF166,TODAY(),"MD")</f>
        <v>17</v>
      </c>
      <c r="AJ166" s="116">
        <v>45747</v>
      </c>
      <c r="AK166" s="116" t="s">
        <v>961</v>
      </c>
      <c r="AL166" s="1" t="s">
        <v>1203</v>
      </c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</row>
    <row r="167" spans="1:147" s="41" customFormat="1" ht="31.5" hidden="1" x14ac:dyDescent="0.25">
      <c r="A167" s="55">
        <v>169</v>
      </c>
      <c r="B167" s="55" t="s">
        <v>27</v>
      </c>
      <c r="C167" s="55" t="s">
        <v>512</v>
      </c>
      <c r="D167" s="55" t="s">
        <v>742</v>
      </c>
      <c r="E167" s="55"/>
      <c r="F167" s="55" t="s">
        <v>28</v>
      </c>
      <c r="G167" s="55">
        <v>73627372</v>
      </c>
      <c r="H167" s="55" t="s">
        <v>737</v>
      </c>
      <c r="I167" s="55" t="s">
        <v>60</v>
      </c>
      <c r="J167" s="55" t="s">
        <v>738</v>
      </c>
      <c r="K167" s="56" t="str">
        <f t="shared" ref="K167:K178" si="31">CONCATENATE(H167," ",I167," ",J167)</f>
        <v>ROJAS  MENDOZA JUNIOR JEORDI</v>
      </c>
      <c r="L167" s="55" t="s">
        <v>29</v>
      </c>
      <c r="M167" s="62">
        <v>34768</v>
      </c>
      <c r="N167" s="55">
        <v>912850963</v>
      </c>
      <c r="O167" s="91" t="s">
        <v>959</v>
      </c>
      <c r="P167" s="87" t="s">
        <v>30</v>
      </c>
      <c r="Q167" s="55" t="s">
        <v>27</v>
      </c>
      <c r="R167" s="64" t="s">
        <v>32</v>
      </c>
      <c r="S167" s="55">
        <v>20601242657</v>
      </c>
      <c r="T167" s="55" t="s">
        <v>33</v>
      </c>
      <c r="U167" s="54" t="s">
        <v>123</v>
      </c>
      <c r="V167" s="55" t="s">
        <v>871</v>
      </c>
      <c r="W167" s="55" t="s">
        <v>31</v>
      </c>
      <c r="X167" s="55" t="s">
        <v>740</v>
      </c>
      <c r="Y167" s="55" t="s">
        <v>31</v>
      </c>
      <c r="Z167" s="55" t="s">
        <v>31</v>
      </c>
      <c r="AA167" s="55" t="s">
        <v>31</v>
      </c>
      <c r="AB167" s="59">
        <f>INT(('PERSONAL ACTIVO'!$C$3-M167)/365)</f>
        <v>-96</v>
      </c>
      <c r="AC167" s="60" t="s">
        <v>111</v>
      </c>
      <c r="AD167" s="60" t="s">
        <v>27</v>
      </c>
      <c r="AE167" s="60"/>
      <c r="AF167" s="65">
        <v>45010</v>
      </c>
      <c r="AG167" s="59">
        <f t="shared" ref="AG167:AG178" ca="1" si="32">DATEDIF(AF167,TODAY(),"Y")</f>
        <v>2</v>
      </c>
      <c r="AH167" s="59">
        <f t="shared" ref="AH167:AH178" ca="1" si="33">DATEDIF(AF167,TODAY(),"YM")</f>
        <v>10</v>
      </c>
      <c r="AI167" s="89">
        <f t="shared" ref="AI167:AI178" ca="1" si="34">DATEDIF(AF167,TODAY(),"MD")</f>
        <v>5</v>
      </c>
      <c r="AJ167" s="103">
        <v>45748</v>
      </c>
      <c r="AK167" s="60" t="s">
        <v>962</v>
      </c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</row>
    <row r="168" spans="1:147" s="41" customFormat="1" ht="32.25" hidden="1" x14ac:dyDescent="0.3">
      <c r="A168" s="55">
        <v>102</v>
      </c>
      <c r="B168" s="55" t="s">
        <v>27</v>
      </c>
      <c r="C168" s="55" t="s">
        <v>512</v>
      </c>
      <c r="D168" s="55" t="s">
        <v>557</v>
      </c>
      <c r="E168" s="55"/>
      <c r="F168" s="55" t="s">
        <v>28</v>
      </c>
      <c r="G168" s="55">
        <v>71507789</v>
      </c>
      <c r="H168" s="55" t="s">
        <v>545</v>
      </c>
      <c r="I168" s="55" t="s">
        <v>546</v>
      </c>
      <c r="J168" s="55" t="s">
        <v>547</v>
      </c>
      <c r="K168" s="56" t="str">
        <f t="shared" si="31"/>
        <v>CAMPOS  FLORES  ANTONIO</v>
      </c>
      <c r="L168" s="55" t="s">
        <v>29</v>
      </c>
      <c r="M168" s="62">
        <v>35560</v>
      </c>
      <c r="N168" s="55">
        <v>916531283</v>
      </c>
      <c r="O168" s="122" t="s">
        <v>1166</v>
      </c>
      <c r="P168" s="87" t="s">
        <v>30</v>
      </c>
      <c r="Q168" s="55" t="s">
        <v>27</v>
      </c>
      <c r="R168" s="64" t="s">
        <v>32</v>
      </c>
      <c r="S168" s="54">
        <v>20601242657</v>
      </c>
      <c r="T168" s="55" t="s">
        <v>33</v>
      </c>
      <c r="U168" s="54" t="s">
        <v>123</v>
      </c>
      <c r="V168" s="54" t="s">
        <v>109</v>
      </c>
      <c r="W168" s="55" t="s">
        <v>45</v>
      </c>
      <c r="X168" s="55" t="s">
        <v>548</v>
      </c>
      <c r="Y168" s="54" t="s">
        <v>111</v>
      </c>
      <c r="Z168" s="54" t="s">
        <v>432</v>
      </c>
      <c r="AA168" s="55" t="s">
        <v>45</v>
      </c>
      <c r="AB168" s="59">
        <f>INT(('PERSONAL ACTIVO'!$C$3-M168)/365)</f>
        <v>-98</v>
      </c>
      <c r="AC168" s="60" t="s">
        <v>111</v>
      </c>
      <c r="AD168" s="60" t="s">
        <v>27</v>
      </c>
      <c r="AE168" s="60"/>
      <c r="AF168" s="61">
        <v>44699</v>
      </c>
      <c r="AG168" s="59">
        <f t="shared" ca="1" si="32"/>
        <v>3</v>
      </c>
      <c r="AH168" s="59">
        <f t="shared" ca="1" si="33"/>
        <v>8</v>
      </c>
      <c r="AI168" s="89">
        <f t="shared" ca="1" si="34"/>
        <v>12</v>
      </c>
      <c r="AJ168" s="103">
        <v>45802</v>
      </c>
      <c r="AK168" s="60" t="s">
        <v>962</v>
      </c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</row>
    <row r="169" spans="1:147" s="41" customFormat="1" ht="32.25" hidden="1" x14ac:dyDescent="0.3">
      <c r="A169" s="55">
        <v>253</v>
      </c>
      <c r="B169" s="55" t="s">
        <v>27</v>
      </c>
      <c r="C169" s="55" t="s">
        <v>512</v>
      </c>
      <c r="D169" s="55" t="s">
        <v>1213</v>
      </c>
      <c r="E169" s="55"/>
      <c r="F169" s="55" t="s">
        <v>28</v>
      </c>
      <c r="G169" s="55">
        <v>71966174</v>
      </c>
      <c r="H169" s="55" t="s">
        <v>61</v>
      </c>
      <c r="I169" s="55" t="s">
        <v>1208</v>
      </c>
      <c r="J169" s="55" t="s">
        <v>1209</v>
      </c>
      <c r="K169" s="56" t="str">
        <f t="shared" si="31"/>
        <v>MARRUFO ACUÑA MOISES</v>
      </c>
      <c r="L169" s="55" t="s">
        <v>29</v>
      </c>
      <c r="M169" s="62">
        <v>36634</v>
      </c>
      <c r="N169" s="55">
        <v>960818164</v>
      </c>
      <c r="O169" s="122" t="s">
        <v>1210</v>
      </c>
      <c r="P169" s="87" t="s">
        <v>30</v>
      </c>
      <c r="Q169" s="55" t="s">
        <v>27</v>
      </c>
      <c r="R169" s="64" t="s">
        <v>32</v>
      </c>
      <c r="S169" s="54">
        <v>20601242659</v>
      </c>
      <c r="T169" s="55" t="s">
        <v>33</v>
      </c>
      <c r="U169" s="54" t="s">
        <v>123</v>
      </c>
      <c r="V169" s="54" t="s">
        <v>935</v>
      </c>
      <c r="W169" s="55" t="s">
        <v>31</v>
      </c>
      <c r="X169" s="55" t="s">
        <v>1218</v>
      </c>
      <c r="Y169" s="55" t="s">
        <v>31</v>
      </c>
      <c r="Z169" s="55" t="s">
        <v>31</v>
      </c>
      <c r="AA169" s="55" t="s">
        <v>31</v>
      </c>
      <c r="AB169" s="59">
        <f>INT(('PERSONAL ACTIVO'!$C$3-M169)/365)</f>
        <v>-101</v>
      </c>
      <c r="AC169" s="60" t="s">
        <v>111</v>
      </c>
      <c r="AD169" s="60" t="s">
        <v>27</v>
      </c>
      <c r="AE169" s="60"/>
      <c r="AF169" s="61">
        <v>45799</v>
      </c>
      <c r="AG169" s="59">
        <f t="shared" ca="1" si="32"/>
        <v>0</v>
      </c>
      <c r="AH169" s="59">
        <f t="shared" ca="1" si="33"/>
        <v>8</v>
      </c>
      <c r="AI169" s="89">
        <f t="shared" ca="1" si="34"/>
        <v>8</v>
      </c>
      <c r="AJ169" s="103">
        <v>45840</v>
      </c>
      <c r="AK169" s="116" t="s">
        <v>961</v>
      </c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</row>
    <row r="170" spans="1:147" s="41" customFormat="1" ht="32.25" hidden="1" x14ac:dyDescent="0.3">
      <c r="A170" s="93">
        <v>228</v>
      </c>
      <c r="B170" s="55" t="s">
        <v>27</v>
      </c>
      <c r="C170" s="55" t="s">
        <v>512</v>
      </c>
      <c r="D170" s="54" t="s">
        <v>1003</v>
      </c>
      <c r="E170" s="55"/>
      <c r="F170" s="55" t="s">
        <v>28</v>
      </c>
      <c r="G170" s="55">
        <v>73175934</v>
      </c>
      <c r="H170" s="55" t="s">
        <v>989</v>
      </c>
      <c r="I170" s="55" t="s">
        <v>990</v>
      </c>
      <c r="J170" s="55" t="s">
        <v>991</v>
      </c>
      <c r="K170" s="56" t="str">
        <f t="shared" si="31"/>
        <v>RABANAL  SOTELO CARLOS DANIEL</v>
      </c>
      <c r="L170" s="55" t="s">
        <v>29</v>
      </c>
      <c r="M170" s="94">
        <v>35071</v>
      </c>
      <c r="N170" s="95" t="s">
        <v>992</v>
      </c>
      <c r="O170" s="122" t="s">
        <v>1174</v>
      </c>
      <c r="P170" s="87" t="s">
        <v>30</v>
      </c>
      <c r="Q170" s="55" t="s">
        <v>27</v>
      </c>
      <c r="R170" s="64" t="s">
        <v>32</v>
      </c>
      <c r="S170" s="55">
        <v>20601242657</v>
      </c>
      <c r="T170" s="55" t="s">
        <v>33</v>
      </c>
      <c r="U170" s="54" t="s">
        <v>123</v>
      </c>
      <c r="V170" s="55" t="s">
        <v>996</v>
      </c>
      <c r="W170" s="95" t="s">
        <v>45</v>
      </c>
      <c r="X170" s="95" t="s">
        <v>997</v>
      </c>
      <c r="Y170" s="95" t="s">
        <v>34</v>
      </c>
      <c r="Z170" s="95" t="s">
        <v>34</v>
      </c>
      <c r="AA170" s="96" t="s">
        <v>45</v>
      </c>
      <c r="AB170" s="59">
        <f>INT(('PERSONAL ACTIVO'!$C$3-M170)/365)</f>
        <v>-97</v>
      </c>
      <c r="AC170" s="98" t="s">
        <v>34</v>
      </c>
      <c r="AD170" s="60" t="s">
        <v>27</v>
      </c>
      <c r="AE170" s="98"/>
      <c r="AF170" s="99">
        <v>45608</v>
      </c>
      <c r="AG170" s="97">
        <f t="shared" ca="1" si="32"/>
        <v>1</v>
      </c>
      <c r="AH170" s="97">
        <f t="shared" ca="1" si="33"/>
        <v>2</v>
      </c>
      <c r="AI170" s="100">
        <f t="shared" ca="1" si="34"/>
        <v>18</v>
      </c>
      <c r="AJ170" s="98"/>
      <c r="AK170" s="98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</row>
    <row r="171" spans="1:147" s="41" customFormat="1" ht="32.25" hidden="1" x14ac:dyDescent="0.3">
      <c r="A171" s="55">
        <v>242</v>
      </c>
      <c r="B171" s="55" t="s">
        <v>27</v>
      </c>
      <c r="C171" s="54" t="s">
        <v>512</v>
      </c>
      <c r="D171" s="54" t="s">
        <v>1107</v>
      </c>
      <c r="E171" s="55"/>
      <c r="F171" s="54" t="s">
        <v>28</v>
      </c>
      <c r="G171" s="55">
        <v>72307618</v>
      </c>
      <c r="H171" s="55" t="s">
        <v>35</v>
      </c>
      <c r="I171" s="55" t="s">
        <v>186</v>
      </c>
      <c r="J171" s="55" t="s">
        <v>1106</v>
      </c>
      <c r="K171" s="56" t="str">
        <f t="shared" si="31"/>
        <v>CUEVA GARCIA JOSE GENARO</v>
      </c>
      <c r="L171" s="54" t="s">
        <v>29</v>
      </c>
      <c r="M171" s="62">
        <v>35455</v>
      </c>
      <c r="N171" s="55">
        <v>987821133</v>
      </c>
      <c r="O171" s="122" t="s">
        <v>1173</v>
      </c>
      <c r="P171" s="88" t="s">
        <v>30</v>
      </c>
      <c r="Q171" s="54" t="s">
        <v>27</v>
      </c>
      <c r="R171" s="64" t="s">
        <v>32</v>
      </c>
      <c r="S171" s="54">
        <v>20601242657</v>
      </c>
      <c r="T171" s="54" t="s">
        <v>33</v>
      </c>
      <c r="U171" s="54" t="s">
        <v>123</v>
      </c>
      <c r="V171" s="54" t="s">
        <v>935</v>
      </c>
      <c r="W171" s="55" t="s">
        <v>31</v>
      </c>
      <c r="X171" s="55" t="s">
        <v>1201</v>
      </c>
      <c r="Y171" s="55" t="s">
        <v>31</v>
      </c>
      <c r="Z171" s="55" t="s">
        <v>31</v>
      </c>
      <c r="AA171" s="55" t="s">
        <v>31</v>
      </c>
      <c r="AB171" s="59">
        <f>INT(('PERSONAL ACTIVO'!$C$3-M171)/365)</f>
        <v>-98</v>
      </c>
      <c r="AC171" s="60" t="s">
        <v>111</v>
      </c>
      <c r="AD171" s="60" t="s">
        <v>27</v>
      </c>
      <c r="AE171" s="60"/>
      <c r="AF171" s="61">
        <v>45694</v>
      </c>
      <c r="AG171" s="59">
        <f t="shared" ca="1" si="32"/>
        <v>0</v>
      </c>
      <c r="AH171" s="59">
        <f t="shared" ca="1" si="33"/>
        <v>11</v>
      </c>
      <c r="AI171" s="89">
        <f t="shared" ca="1" si="34"/>
        <v>24</v>
      </c>
      <c r="AJ171" s="61"/>
      <c r="AK171" s="6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</row>
    <row r="172" spans="1:147" s="41" customFormat="1" ht="32.25" hidden="1" x14ac:dyDescent="0.3">
      <c r="A172" s="55">
        <v>236</v>
      </c>
      <c r="B172" s="55" t="s">
        <v>27</v>
      </c>
      <c r="C172" s="54" t="s">
        <v>512</v>
      </c>
      <c r="D172" s="54" t="s">
        <v>1097</v>
      </c>
      <c r="E172" s="55"/>
      <c r="F172" s="54" t="s">
        <v>28</v>
      </c>
      <c r="G172" s="55">
        <v>73522144</v>
      </c>
      <c r="H172" s="55" t="s">
        <v>35</v>
      </c>
      <c r="I172" s="55" t="s">
        <v>1077</v>
      </c>
      <c r="J172" s="55" t="s">
        <v>972</v>
      </c>
      <c r="K172" s="56" t="str">
        <f t="shared" si="31"/>
        <v>CUEVA TINGAL EDWIN</v>
      </c>
      <c r="L172" s="54" t="s">
        <v>29</v>
      </c>
      <c r="M172" s="62">
        <v>38024</v>
      </c>
      <c r="N172" s="55">
        <v>962251080</v>
      </c>
      <c r="O172" s="122" t="s">
        <v>1175</v>
      </c>
      <c r="P172" s="88" t="s">
        <v>30</v>
      </c>
      <c r="Q172" s="54" t="s">
        <v>27</v>
      </c>
      <c r="R172" s="64" t="s">
        <v>32</v>
      </c>
      <c r="S172" s="54">
        <v>20601242657</v>
      </c>
      <c r="T172" s="54" t="s">
        <v>33</v>
      </c>
      <c r="U172" s="54" t="s">
        <v>123</v>
      </c>
      <c r="V172" s="54" t="s">
        <v>935</v>
      </c>
      <c r="W172" s="55" t="s">
        <v>31</v>
      </c>
      <c r="X172" s="55" t="s">
        <v>1078</v>
      </c>
      <c r="Y172" s="55" t="s">
        <v>31</v>
      </c>
      <c r="Z172" s="55" t="s">
        <v>31</v>
      </c>
      <c r="AA172" s="55" t="s">
        <v>31</v>
      </c>
      <c r="AB172" s="59">
        <f>INT(('PERSONAL ACTIVO'!$C$3-M172)/365)</f>
        <v>-105</v>
      </c>
      <c r="AC172" s="60" t="s">
        <v>111</v>
      </c>
      <c r="AD172" s="60" t="s">
        <v>27</v>
      </c>
      <c r="AE172" s="60"/>
      <c r="AF172" s="61">
        <v>45687</v>
      </c>
      <c r="AG172" s="59">
        <f t="shared" ca="1" si="32"/>
        <v>1</v>
      </c>
      <c r="AH172" s="59">
        <f t="shared" ca="1" si="33"/>
        <v>0</v>
      </c>
      <c r="AI172" s="89">
        <f t="shared" ca="1" si="34"/>
        <v>0</v>
      </c>
      <c r="AJ172" s="61"/>
      <c r="AK172" s="6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</row>
    <row r="173" spans="1:147" s="41" customFormat="1" ht="32.25" hidden="1" x14ac:dyDescent="0.3">
      <c r="A173" s="101">
        <v>238</v>
      </c>
      <c r="B173" s="55" t="s">
        <v>27</v>
      </c>
      <c r="C173" s="55" t="s">
        <v>512</v>
      </c>
      <c r="D173" s="54" t="s">
        <v>1098</v>
      </c>
      <c r="E173" s="55"/>
      <c r="F173" s="55" t="s">
        <v>28</v>
      </c>
      <c r="G173" s="55">
        <v>76233243</v>
      </c>
      <c r="H173" s="55" t="s">
        <v>1081</v>
      </c>
      <c r="I173" s="55" t="s">
        <v>1204</v>
      </c>
      <c r="J173" s="55" t="s">
        <v>1082</v>
      </c>
      <c r="K173" s="56" t="str">
        <f t="shared" si="31"/>
        <v>PACAYA RENGIFO ANTHONY HAROLD</v>
      </c>
      <c r="L173" s="55" t="s">
        <v>29</v>
      </c>
      <c r="M173" s="62">
        <v>35956</v>
      </c>
      <c r="N173" s="55">
        <v>910194132</v>
      </c>
      <c r="O173" s="122" t="s">
        <v>1191</v>
      </c>
      <c r="P173" s="88" t="s">
        <v>30</v>
      </c>
      <c r="Q173" s="55" t="s">
        <v>27</v>
      </c>
      <c r="R173" s="64" t="s">
        <v>32</v>
      </c>
      <c r="S173" s="54">
        <v>20601242657</v>
      </c>
      <c r="T173" s="55" t="s">
        <v>33</v>
      </c>
      <c r="U173" s="54" t="s">
        <v>123</v>
      </c>
      <c r="V173" s="54" t="s">
        <v>935</v>
      </c>
      <c r="W173" s="55" t="s">
        <v>1084</v>
      </c>
      <c r="X173" s="54" t="s">
        <v>1083</v>
      </c>
      <c r="Y173" s="55" t="s">
        <v>1085</v>
      </c>
      <c r="Z173" s="55" t="s">
        <v>1084</v>
      </c>
      <c r="AA173" s="55" t="s">
        <v>1084</v>
      </c>
      <c r="AB173" s="59">
        <f>INT(('PERSONAL ACTIVO'!$C$3-M173)/365)</f>
        <v>-99</v>
      </c>
      <c r="AC173" s="60" t="s">
        <v>34</v>
      </c>
      <c r="AD173" s="60" t="s">
        <v>27</v>
      </c>
      <c r="AE173" s="60"/>
      <c r="AF173" s="61">
        <v>45687</v>
      </c>
      <c r="AG173" s="59">
        <f t="shared" ca="1" si="32"/>
        <v>1</v>
      </c>
      <c r="AH173" s="59">
        <f t="shared" ca="1" si="33"/>
        <v>0</v>
      </c>
      <c r="AI173" s="89">
        <f t="shared" ca="1" si="34"/>
        <v>0</v>
      </c>
      <c r="AJ173" s="60"/>
      <c r="AK173" s="60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</row>
    <row r="174" spans="1:147" s="41" customFormat="1" ht="32.25" x14ac:dyDescent="0.3">
      <c r="A174" s="55">
        <v>206</v>
      </c>
      <c r="B174" s="55" t="s">
        <v>27</v>
      </c>
      <c r="C174" s="55" t="s">
        <v>512</v>
      </c>
      <c r="D174" s="55" t="s">
        <v>901</v>
      </c>
      <c r="E174" s="124">
        <v>45784</v>
      </c>
      <c r="F174" s="55" t="s">
        <v>28</v>
      </c>
      <c r="G174" s="55">
        <v>48321481</v>
      </c>
      <c r="H174" s="55" t="s">
        <v>911</v>
      </c>
      <c r="I174" s="55" t="s">
        <v>895</v>
      </c>
      <c r="J174" s="55" t="s">
        <v>896</v>
      </c>
      <c r="K174" s="56" t="str">
        <f t="shared" si="31"/>
        <v>VASQUEZ LARA ELVIS</v>
      </c>
      <c r="L174" s="55" t="s">
        <v>29</v>
      </c>
      <c r="M174" s="62">
        <v>34494</v>
      </c>
      <c r="N174" s="55">
        <v>974662698</v>
      </c>
      <c r="O174" s="122" t="s">
        <v>1159</v>
      </c>
      <c r="P174" s="87" t="s">
        <v>30</v>
      </c>
      <c r="Q174" s="55" t="s">
        <v>27</v>
      </c>
      <c r="R174" s="64" t="s">
        <v>32</v>
      </c>
      <c r="S174" s="54">
        <v>20601242657</v>
      </c>
      <c r="T174" s="55" t="s">
        <v>33</v>
      </c>
      <c r="U174" s="54" t="s">
        <v>123</v>
      </c>
      <c r="V174" s="54" t="s">
        <v>935</v>
      </c>
      <c r="W174" s="55" t="s">
        <v>31</v>
      </c>
      <c r="X174" s="55" t="s">
        <v>897</v>
      </c>
      <c r="Y174" s="55" t="s">
        <v>300</v>
      </c>
      <c r="Z174" s="55" t="s">
        <v>301</v>
      </c>
      <c r="AA174" s="55" t="s">
        <v>31</v>
      </c>
      <c r="AB174" s="59">
        <f>INT(('PERSONAL ACTIVO'!$C$3-M174)/365)</f>
        <v>-95</v>
      </c>
      <c r="AC174" s="60" t="s">
        <v>111</v>
      </c>
      <c r="AD174" s="60" t="s">
        <v>27</v>
      </c>
      <c r="AE174" s="60"/>
      <c r="AF174" s="65">
        <v>45323</v>
      </c>
      <c r="AG174" s="59">
        <f t="shared" ca="1" si="32"/>
        <v>1</v>
      </c>
      <c r="AH174" s="59">
        <f t="shared" ca="1" si="33"/>
        <v>11</v>
      </c>
      <c r="AI174" s="89">
        <f t="shared" ca="1" si="34"/>
        <v>29</v>
      </c>
      <c r="AJ174" s="60"/>
      <c r="AK174" s="60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</row>
    <row r="175" spans="1:147" s="1" customFormat="1" ht="32.25" hidden="1" x14ac:dyDescent="0.3">
      <c r="A175" s="55">
        <v>250</v>
      </c>
      <c r="B175" s="55" t="s">
        <v>27</v>
      </c>
      <c r="C175" s="55" t="s">
        <v>512</v>
      </c>
      <c r="D175" s="55" t="s">
        <v>1149</v>
      </c>
      <c r="E175" s="124">
        <v>45784</v>
      </c>
      <c r="F175" s="55" t="s">
        <v>28</v>
      </c>
      <c r="G175" s="55">
        <v>72426562</v>
      </c>
      <c r="H175" s="55" t="s">
        <v>107</v>
      </c>
      <c r="I175" s="55" t="s">
        <v>55</v>
      </c>
      <c r="J175" s="55" t="s">
        <v>1144</v>
      </c>
      <c r="K175" s="56" t="str">
        <f t="shared" si="31"/>
        <v>CUEVA  HUAMAN JAVIER</v>
      </c>
      <c r="L175" s="55" t="s">
        <v>29</v>
      </c>
      <c r="M175" s="62">
        <v>37271</v>
      </c>
      <c r="N175" s="55">
        <v>994897754</v>
      </c>
      <c r="O175" s="122" t="s">
        <v>1196</v>
      </c>
      <c r="P175" s="87" t="s">
        <v>30</v>
      </c>
      <c r="Q175" s="55" t="s">
        <v>27</v>
      </c>
      <c r="R175" s="64" t="s">
        <v>32</v>
      </c>
      <c r="S175" s="54">
        <v>20601242657</v>
      </c>
      <c r="T175" s="55" t="s">
        <v>33</v>
      </c>
      <c r="U175" s="54" t="s">
        <v>123</v>
      </c>
      <c r="V175" s="54" t="s">
        <v>935</v>
      </c>
      <c r="W175" s="55" t="s">
        <v>31</v>
      </c>
      <c r="X175" s="55" t="s">
        <v>110</v>
      </c>
      <c r="Y175" s="55" t="s">
        <v>31</v>
      </c>
      <c r="Z175" s="55" t="s">
        <v>31</v>
      </c>
      <c r="AA175" s="55" t="s">
        <v>31</v>
      </c>
      <c r="AB175" s="59">
        <f>INT(('PERSONAL ACTIVO'!$C$3-M175)/365)</f>
        <v>-103</v>
      </c>
      <c r="AC175" s="60" t="s">
        <v>111</v>
      </c>
      <c r="AD175" s="60" t="s">
        <v>27</v>
      </c>
      <c r="AE175" s="60"/>
      <c r="AF175" s="61">
        <v>45757</v>
      </c>
      <c r="AG175" s="59">
        <f t="shared" ca="1" si="32"/>
        <v>0</v>
      </c>
      <c r="AH175" s="59">
        <f t="shared" ca="1" si="33"/>
        <v>9</v>
      </c>
      <c r="AI175" s="89">
        <f t="shared" ca="1" si="34"/>
        <v>20</v>
      </c>
      <c r="AJ175" s="60"/>
      <c r="AK175" s="60"/>
    </row>
    <row r="176" spans="1:147" s="41" customFormat="1" ht="32.25" hidden="1" x14ac:dyDescent="0.3">
      <c r="A176" s="55">
        <v>223</v>
      </c>
      <c r="B176" s="55" t="s">
        <v>27</v>
      </c>
      <c r="C176" s="55" t="s">
        <v>512</v>
      </c>
      <c r="D176" s="55" t="s">
        <v>966</v>
      </c>
      <c r="E176" s="55"/>
      <c r="F176" s="55" t="s">
        <v>28</v>
      </c>
      <c r="G176" s="55">
        <v>47205056</v>
      </c>
      <c r="H176" s="55" t="s">
        <v>930</v>
      </c>
      <c r="I176" s="55" t="s">
        <v>971</v>
      </c>
      <c r="J176" s="55" t="s">
        <v>972</v>
      </c>
      <c r="K176" s="56" t="str">
        <f t="shared" si="31"/>
        <v>SANDOVAL MURILLOS EDWIN</v>
      </c>
      <c r="L176" s="55" t="s">
        <v>29</v>
      </c>
      <c r="M176" s="62">
        <v>33837</v>
      </c>
      <c r="N176" s="55">
        <v>979280924</v>
      </c>
      <c r="O176" s="122" t="s">
        <v>1181</v>
      </c>
      <c r="P176" s="87" t="s">
        <v>30</v>
      </c>
      <c r="Q176" s="55" t="s">
        <v>27</v>
      </c>
      <c r="R176" s="64" t="s">
        <v>32</v>
      </c>
      <c r="S176" s="54">
        <v>20601242657</v>
      </c>
      <c r="T176" s="55" t="s">
        <v>33</v>
      </c>
      <c r="U176" s="54" t="s">
        <v>123</v>
      </c>
      <c r="V176" s="54" t="s">
        <v>935</v>
      </c>
      <c r="W176" s="55" t="s">
        <v>333</v>
      </c>
      <c r="X176" s="55" t="s">
        <v>973</v>
      </c>
      <c r="Y176" s="55" t="s">
        <v>974</v>
      </c>
      <c r="Z176" s="55" t="s">
        <v>333</v>
      </c>
      <c r="AA176" s="55" t="s">
        <v>333</v>
      </c>
      <c r="AB176" s="59">
        <f>INT(('PERSONAL ACTIVO'!$C$3-M176)/365)</f>
        <v>-93</v>
      </c>
      <c r="AC176" s="60" t="s">
        <v>34</v>
      </c>
      <c r="AD176" s="60" t="s">
        <v>27</v>
      </c>
      <c r="AE176" s="60"/>
      <c r="AF176" s="65">
        <v>45547</v>
      </c>
      <c r="AG176" s="59">
        <f t="shared" ca="1" si="32"/>
        <v>1</v>
      </c>
      <c r="AH176" s="59">
        <f t="shared" ca="1" si="33"/>
        <v>4</v>
      </c>
      <c r="AI176" s="89">
        <f t="shared" ca="1" si="34"/>
        <v>18</v>
      </c>
      <c r="AJ176" s="60"/>
      <c r="AK176" s="60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</row>
    <row r="177" spans="1:147" s="41" customFormat="1" ht="32.25" hidden="1" x14ac:dyDescent="0.3">
      <c r="A177" s="55">
        <v>193</v>
      </c>
      <c r="B177" s="55" t="s">
        <v>27</v>
      </c>
      <c r="C177" s="55" t="s">
        <v>512</v>
      </c>
      <c r="D177" s="55" t="s">
        <v>864</v>
      </c>
      <c r="E177" s="55"/>
      <c r="F177" s="55" t="s">
        <v>28</v>
      </c>
      <c r="G177" s="55">
        <v>46004225</v>
      </c>
      <c r="H177" s="55" t="s">
        <v>853</v>
      </c>
      <c r="I177" s="55" t="s">
        <v>72</v>
      </c>
      <c r="J177" s="55" t="s">
        <v>854</v>
      </c>
      <c r="K177" s="56" t="str">
        <f t="shared" si="31"/>
        <v>TORRES SANCHEZ EVER ALBERTO</v>
      </c>
      <c r="L177" s="55" t="s">
        <v>29</v>
      </c>
      <c r="M177" s="62">
        <v>32804</v>
      </c>
      <c r="N177" s="55">
        <v>997909872</v>
      </c>
      <c r="O177" s="122" t="s">
        <v>1182</v>
      </c>
      <c r="P177" s="87" t="s">
        <v>30</v>
      </c>
      <c r="Q177" s="55" t="s">
        <v>27</v>
      </c>
      <c r="R177" s="64" t="s">
        <v>32</v>
      </c>
      <c r="S177" s="54">
        <v>20601242657</v>
      </c>
      <c r="T177" s="55" t="s">
        <v>33</v>
      </c>
      <c r="U177" s="54" t="s">
        <v>123</v>
      </c>
      <c r="V177" s="54" t="s">
        <v>935</v>
      </c>
      <c r="W177" s="55" t="s">
        <v>31</v>
      </c>
      <c r="X177" s="55" t="s">
        <v>1199</v>
      </c>
      <c r="Y177" s="55" t="s">
        <v>31</v>
      </c>
      <c r="Z177" s="55" t="s">
        <v>31</v>
      </c>
      <c r="AA177" s="55" t="s">
        <v>31</v>
      </c>
      <c r="AB177" s="59">
        <f>INT(('PERSONAL ACTIVO'!$C$3-M177)/365)</f>
        <v>-90</v>
      </c>
      <c r="AC177" s="60" t="s">
        <v>111</v>
      </c>
      <c r="AD177" s="60" t="s">
        <v>27</v>
      </c>
      <c r="AE177" s="60"/>
      <c r="AF177" s="61">
        <v>45253</v>
      </c>
      <c r="AG177" s="59">
        <f t="shared" ca="1" si="32"/>
        <v>2</v>
      </c>
      <c r="AH177" s="59">
        <f t="shared" ca="1" si="33"/>
        <v>2</v>
      </c>
      <c r="AI177" s="89">
        <f t="shared" ca="1" si="34"/>
        <v>7</v>
      </c>
      <c r="AJ177" s="60"/>
      <c r="AK177" s="60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</row>
    <row r="178" spans="1:147" s="1" customFormat="1" ht="32.25" hidden="1" x14ac:dyDescent="0.3">
      <c r="A178" s="54">
        <v>215</v>
      </c>
      <c r="B178" s="54" t="s">
        <v>27</v>
      </c>
      <c r="C178" s="54" t="s">
        <v>512</v>
      </c>
      <c r="D178" s="54" t="s">
        <v>940</v>
      </c>
      <c r="E178" s="54"/>
      <c r="F178" s="54" t="s">
        <v>28</v>
      </c>
      <c r="G178" s="55">
        <v>71758380</v>
      </c>
      <c r="H178" s="54" t="s">
        <v>189</v>
      </c>
      <c r="I178" s="54" t="s">
        <v>206</v>
      </c>
      <c r="J178" s="54" t="s">
        <v>204</v>
      </c>
      <c r="K178" s="56" t="str">
        <f t="shared" si="31"/>
        <v>VILCA CONDOR INELSON</v>
      </c>
      <c r="L178" s="54" t="s">
        <v>29</v>
      </c>
      <c r="M178" s="57">
        <v>35175</v>
      </c>
      <c r="N178" s="54">
        <v>935254843</v>
      </c>
      <c r="O178" s="122" t="s">
        <v>1177</v>
      </c>
      <c r="P178" s="88" t="s">
        <v>30</v>
      </c>
      <c r="Q178" s="54" t="s">
        <v>27</v>
      </c>
      <c r="R178" s="58" t="s">
        <v>32</v>
      </c>
      <c r="S178" s="54">
        <v>20601242657</v>
      </c>
      <c r="T178" s="54" t="s">
        <v>33</v>
      </c>
      <c r="U178" s="54" t="s">
        <v>123</v>
      </c>
      <c r="V178" s="54" t="s">
        <v>109</v>
      </c>
      <c r="W178" s="54" t="s">
        <v>31</v>
      </c>
      <c r="X178" s="54" t="s">
        <v>510</v>
      </c>
      <c r="Y178" s="54" t="s">
        <v>509</v>
      </c>
      <c r="Z178" s="54" t="s">
        <v>31</v>
      </c>
      <c r="AA178" s="54" t="s">
        <v>31</v>
      </c>
      <c r="AB178" s="59">
        <f>INT(('PERSONAL ACTIVO'!$C$3-M178)/365)</f>
        <v>-97</v>
      </c>
      <c r="AC178" s="60" t="s">
        <v>111</v>
      </c>
      <c r="AD178" s="60" t="s">
        <v>27</v>
      </c>
      <c r="AE178" s="60"/>
      <c r="AF178" s="61">
        <v>45388</v>
      </c>
      <c r="AG178" s="59">
        <f t="shared" ca="1" si="32"/>
        <v>1</v>
      </c>
      <c r="AH178" s="59">
        <f t="shared" ca="1" si="33"/>
        <v>9</v>
      </c>
      <c r="AI178" s="89">
        <f t="shared" ca="1" si="34"/>
        <v>24</v>
      </c>
      <c r="AJ178" s="60"/>
      <c r="AK178" s="60"/>
    </row>
    <row r="179" spans="1:147" s="1" customFormat="1" ht="31.5" hidden="1" x14ac:dyDescent="0.25">
      <c r="A179" s="54">
        <v>17</v>
      </c>
      <c r="B179" s="54" t="s">
        <v>27</v>
      </c>
      <c r="C179" s="54" t="s">
        <v>512</v>
      </c>
      <c r="D179" s="54" t="s">
        <v>171</v>
      </c>
      <c r="E179" s="124">
        <v>45784</v>
      </c>
      <c r="F179" s="54" t="s">
        <v>28</v>
      </c>
      <c r="G179" s="55">
        <v>26672834</v>
      </c>
      <c r="H179" s="54" t="s">
        <v>79</v>
      </c>
      <c r="I179" s="54" t="s">
        <v>55</v>
      </c>
      <c r="J179" s="54" t="s">
        <v>80</v>
      </c>
      <c r="K179" s="56" t="str">
        <f t="shared" ref="K179:K186" si="35">CONCATENATE(H179," ",I179," ",J179)</f>
        <v>LINARES HUAMAN UGO BENITO</v>
      </c>
      <c r="L179" s="54" t="s">
        <v>29</v>
      </c>
      <c r="M179" s="57">
        <v>25718</v>
      </c>
      <c r="N179" s="54">
        <v>986054283</v>
      </c>
      <c r="O179" s="123" t="s">
        <v>1168</v>
      </c>
      <c r="P179" s="88" t="s">
        <v>30</v>
      </c>
      <c r="Q179" s="54" t="s">
        <v>27</v>
      </c>
      <c r="R179" s="58" t="s">
        <v>32</v>
      </c>
      <c r="S179" s="54">
        <v>20601242657</v>
      </c>
      <c r="T179" s="54" t="s">
        <v>33</v>
      </c>
      <c r="U179" s="54" t="s">
        <v>123</v>
      </c>
      <c r="V179" s="54" t="s">
        <v>109</v>
      </c>
      <c r="W179" s="54" t="s">
        <v>31</v>
      </c>
      <c r="X179" s="54" t="s">
        <v>208</v>
      </c>
      <c r="Y179" s="54" t="s">
        <v>31</v>
      </c>
      <c r="Z179" s="54" t="s">
        <v>31</v>
      </c>
      <c r="AA179" s="54" t="s">
        <v>31</v>
      </c>
      <c r="AB179" s="59">
        <f>INT(('PERSONAL ACTIVO'!$C$3-M179)/365)</f>
        <v>-71</v>
      </c>
      <c r="AC179" s="60" t="s">
        <v>111</v>
      </c>
      <c r="AD179" s="60" t="s">
        <v>27</v>
      </c>
      <c r="AE179" s="60"/>
      <c r="AF179" s="61">
        <v>44280</v>
      </c>
      <c r="AG179" s="59">
        <f t="shared" ref="AG179:AG186" ca="1" si="36">DATEDIF(AF179,TODAY(),"Y")</f>
        <v>4</v>
      </c>
      <c r="AH179" s="59">
        <f t="shared" ref="AH179:AH186" ca="1" si="37">DATEDIF(AF179,TODAY(),"YM")</f>
        <v>10</v>
      </c>
      <c r="AI179" s="89">
        <f t="shared" ref="AI179:AI186" ca="1" si="38">DATEDIF(AF179,TODAY(),"MD")</f>
        <v>5</v>
      </c>
      <c r="AJ179" s="60"/>
      <c r="AK179" s="60"/>
    </row>
    <row r="180" spans="1:147" ht="19.5" hidden="1" x14ac:dyDescent="0.3">
      <c r="D180" s="54" t="s">
        <v>1342</v>
      </c>
      <c r="E180" s="124"/>
      <c r="F180" s="55" t="s">
        <v>28</v>
      </c>
      <c r="G180" s="55">
        <v>72714095</v>
      </c>
      <c r="H180" s="55" t="s">
        <v>1279</v>
      </c>
      <c r="I180" s="55" t="s">
        <v>1280</v>
      </c>
      <c r="J180" s="55" t="s">
        <v>1281</v>
      </c>
      <c r="K180" s="56" t="str">
        <f t="shared" si="35"/>
        <v>SALDAÑA MESONES ANGELO AYRTON</v>
      </c>
      <c r="L180" s="55" t="s">
        <v>29</v>
      </c>
      <c r="M180" s="62">
        <v>37140</v>
      </c>
      <c r="N180" s="55">
        <v>973312325</v>
      </c>
      <c r="O180" s="132" t="s">
        <v>1282</v>
      </c>
      <c r="P180" s="87"/>
      <c r="Q180" s="55"/>
      <c r="R180" s="64"/>
      <c r="S180" s="54"/>
      <c r="T180" s="55"/>
      <c r="U180" s="54"/>
      <c r="V180" s="54"/>
      <c r="W180" s="55"/>
      <c r="X180" s="55"/>
      <c r="Y180" s="55" t="s">
        <v>45</v>
      </c>
      <c r="Z180" s="55" t="s">
        <v>458</v>
      </c>
      <c r="AA180" s="55" t="s">
        <v>458</v>
      </c>
      <c r="AB180" s="59">
        <f>INT(('PERSONAL ACTIVO'!$C$3-M180)/365)</f>
        <v>-102</v>
      </c>
      <c r="AC180" s="60" t="s">
        <v>34</v>
      </c>
      <c r="AD180" s="60" t="s">
        <v>27</v>
      </c>
      <c r="AE180" s="60"/>
      <c r="AF180" s="61">
        <v>45953</v>
      </c>
      <c r="AG180" s="59">
        <f t="shared" ca="1" si="36"/>
        <v>0</v>
      </c>
      <c r="AH180" s="59">
        <f t="shared" ca="1" si="37"/>
        <v>3</v>
      </c>
      <c r="AI180" s="89">
        <f t="shared" ca="1" si="38"/>
        <v>7</v>
      </c>
      <c r="AJ180" s="60"/>
      <c r="AK180" s="60"/>
    </row>
    <row r="181" spans="1:147" ht="32.25" hidden="1" x14ac:dyDescent="0.3">
      <c r="D181" s="55" t="s">
        <v>1096</v>
      </c>
      <c r="E181" s="55"/>
      <c r="F181" s="55" t="s">
        <v>28</v>
      </c>
      <c r="G181" s="55">
        <v>74436716</v>
      </c>
      <c r="H181" s="55" t="s">
        <v>155</v>
      </c>
      <c r="I181" s="55" t="s">
        <v>131</v>
      </c>
      <c r="J181" s="55" t="s">
        <v>1079</v>
      </c>
      <c r="K181" s="56" t="str">
        <f t="shared" si="35"/>
        <v>LLOVERA CULQUI OBED</v>
      </c>
      <c r="L181" s="55" t="s">
        <v>29</v>
      </c>
      <c r="M181" s="62">
        <v>35314</v>
      </c>
      <c r="N181" s="55">
        <v>917541511</v>
      </c>
      <c r="O181" s="122" t="s">
        <v>1190</v>
      </c>
      <c r="P181" s="87" t="s">
        <v>30</v>
      </c>
      <c r="Q181" s="55" t="s">
        <v>27</v>
      </c>
      <c r="R181" s="64" t="s">
        <v>32</v>
      </c>
      <c r="S181" s="54">
        <v>20601242657</v>
      </c>
      <c r="T181" s="55" t="s">
        <v>33</v>
      </c>
      <c r="U181" s="54" t="s">
        <v>123</v>
      </c>
      <c r="V181" s="54" t="s">
        <v>935</v>
      </c>
      <c r="W181" s="55" t="s">
        <v>31</v>
      </c>
      <c r="X181" s="54" t="s">
        <v>1080</v>
      </c>
      <c r="Y181" s="55" t="s">
        <v>31</v>
      </c>
      <c r="Z181" s="55" t="s">
        <v>31</v>
      </c>
      <c r="AA181" s="55" t="s">
        <v>31</v>
      </c>
      <c r="AB181" s="59">
        <f>INT(('PERSONAL ACTIVO'!$C$3-M181)/365)</f>
        <v>-97</v>
      </c>
      <c r="AC181" s="60" t="s">
        <v>111</v>
      </c>
      <c r="AD181" s="60" t="s">
        <v>27</v>
      </c>
      <c r="AE181" s="60"/>
      <c r="AF181" s="61">
        <v>45687</v>
      </c>
      <c r="AG181" s="59">
        <f t="shared" ca="1" si="36"/>
        <v>1</v>
      </c>
      <c r="AH181" s="59">
        <f t="shared" ca="1" si="37"/>
        <v>0</v>
      </c>
      <c r="AI181" s="89">
        <f t="shared" ca="1" si="38"/>
        <v>0</v>
      </c>
      <c r="AJ181" s="103">
        <v>45970</v>
      </c>
      <c r="AK181" s="60" t="s">
        <v>962</v>
      </c>
    </row>
    <row r="182" spans="1:147" ht="32.25" hidden="1" x14ac:dyDescent="0.3">
      <c r="D182" s="55" t="s">
        <v>1151</v>
      </c>
      <c r="E182" s="55"/>
      <c r="F182" s="55" t="s">
        <v>28</v>
      </c>
      <c r="G182" s="55">
        <v>41689585</v>
      </c>
      <c r="H182" s="55" t="s">
        <v>732</v>
      </c>
      <c r="I182" s="55" t="s">
        <v>807</v>
      </c>
      <c r="J182" s="55" t="s">
        <v>613</v>
      </c>
      <c r="K182" s="56" t="str">
        <f t="shared" si="35"/>
        <v>CHAVEZ MORENO LUIS ALBERTO</v>
      </c>
      <c r="L182" s="55" t="s">
        <v>29</v>
      </c>
      <c r="M182" s="62">
        <v>30452</v>
      </c>
      <c r="N182" s="55">
        <v>913748542</v>
      </c>
      <c r="O182" s="122" t="s">
        <v>1198</v>
      </c>
      <c r="P182" s="87" t="s">
        <v>30</v>
      </c>
      <c r="Q182" s="55" t="s">
        <v>27</v>
      </c>
      <c r="R182" s="64" t="s">
        <v>32</v>
      </c>
      <c r="S182" s="54">
        <v>20601242657</v>
      </c>
      <c r="T182" s="55" t="s">
        <v>33</v>
      </c>
      <c r="U182" s="54" t="s">
        <v>123</v>
      </c>
      <c r="V182" s="54" t="s">
        <v>935</v>
      </c>
      <c r="W182" s="55" t="s">
        <v>149</v>
      </c>
      <c r="X182" s="55" t="s">
        <v>1146</v>
      </c>
      <c r="Y182" s="55" t="s">
        <v>1147</v>
      </c>
      <c r="Z182" s="55" t="s">
        <v>1148</v>
      </c>
      <c r="AA182" s="55" t="s">
        <v>149</v>
      </c>
      <c r="AB182" s="59">
        <f>INT(('PERSONAL ACTIVO'!$C$3-M182)/365)</f>
        <v>-84</v>
      </c>
      <c r="AC182" s="60" t="s">
        <v>34</v>
      </c>
      <c r="AD182" s="60" t="s">
        <v>27</v>
      </c>
      <c r="AE182" s="60"/>
      <c r="AF182" s="61">
        <v>45757</v>
      </c>
      <c r="AG182" s="59">
        <f t="shared" ca="1" si="36"/>
        <v>0</v>
      </c>
      <c r="AH182" s="59">
        <f t="shared" ca="1" si="37"/>
        <v>9</v>
      </c>
      <c r="AI182" s="89">
        <f t="shared" ca="1" si="38"/>
        <v>20</v>
      </c>
      <c r="AJ182" s="103">
        <v>45963</v>
      </c>
      <c r="AK182" s="60" t="s">
        <v>962</v>
      </c>
    </row>
    <row r="183" spans="1:147" ht="32.25" hidden="1" x14ac:dyDescent="0.3">
      <c r="D183" s="55" t="s">
        <v>1344</v>
      </c>
      <c r="E183" s="55"/>
      <c r="F183" s="55" t="s">
        <v>28</v>
      </c>
      <c r="G183" s="55">
        <v>77923416</v>
      </c>
      <c r="H183" s="55" t="s">
        <v>1336</v>
      </c>
      <c r="I183" s="55" t="s">
        <v>373</v>
      </c>
      <c r="J183" s="55" t="s">
        <v>1337</v>
      </c>
      <c r="K183" s="56" t="str">
        <f t="shared" si="35"/>
        <v>URBANO  REVILLA MIXER OMAR</v>
      </c>
      <c r="L183" s="55"/>
      <c r="M183" s="62">
        <v>35424</v>
      </c>
      <c r="N183" s="55">
        <v>901145612</v>
      </c>
      <c r="O183" s="122" t="s">
        <v>1338</v>
      </c>
      <c r="P183" s="87" t="s">
        <v>30</v>
      </c>
      <c r="Q183" s="55" t="s">
        <v>27</v>
      </c>
      <c r="R183" s="64" t="s">
        <v>32</v>
      </c>
      <c r="S183" s="54">
        <v>20601242657</v>
      </c>
      <c r="T183" s="55" t="s">
        <v>33</v>
      </c>
      <c r="U183" s="54" t="s">
        <v>123</v>
      </c>
      <c r="V183" s="54" t="s">
        <v>935</v>
      </c>
      <c r="W183" s="55" t="s">
        <v>45</v>
      </c>
      <c r="X183" s="55" t="s">
        <v>1339</v>
      </c>
      <c r="Y183" s="55" t="s">
        <v>458</v>
      </c>
      <c r="Z183" s="55" t="s">
        <v>458</v>
      </c>
      <c r="AA183" s="55" t="s">
        <v>45</v>
      </c>
      <c r="AB183" s="59">
        <f>INT(('PERSONAL ACTIVO'!$C$3-M183)/365)</f>
        <v>-98</v>
      </c>
      <c r="AC183" s="60" t="s">
        <v>111</v>
      </c>
      <c r="AD183" s="60" t="s">
        <v>27</v>
      </c>
      <c r="AE183" s="60"/>
      <c r="AF183" s="61">
        <v>45969</v>
      </c>
      <c r="AG183" s="59">
        <f t="shared" ca="1" si="36"/>
        <v>0</v>
      </c>
      <c r="AH183" s="59">
        <f t="shared" ca="1" si="37"/>
        <v>2</v>
      </c>
      <c r="AI183" s="89">
        <f t="shared" ca="1" si="38"/>
        <v>22</v>
      </c>
      <c r="AJ183" s="103">
        <v>45977</v>
      </c>
      <c r="AK183" s="60" t="s">
        <v>962</v>
      </c>
    </row>
    <row r="184" spans="1:147" ht="32.25" hidden="1" x14ac:dyDescent="0.3">
      <c r="D184" s="54" t="s">
        <v>1067</v>
      </c>
      <c r="E184" s="55"/>
      <c r="F184" s="55" t="s">
        <v>28</v>
      </c>
      <c r="G184" s="55">
        <v>73984510</v>
      </c>
      <c r="H184" s="55" t="s">
        <v>1026</v>
      </c>
      <c r="I184" s="55" t="s">
        <v>732</v>
      </c>
      <c r="J184" s="55" t="s">
        <v>1027</v>
      </c>
      <c r="K184" s="56" t="str">
        <f t="shared" si="35"/>
        <v>CARRASCO  CHAVEZ CESAR</v>
      </c>
      <c r="L184" s="55" t="s">
        <v>29</v>
      </c>
      <c r="M184" s="62">
        <v>34307</v>
      </c>
      <c r="N184" s="55">
        <v>901923664</v>
      </c>
      <c r="O184" s="122" t="s">
        <v>1169</v>
      </c>
      <c r="P184" s="87" t="s">
        <v>30</v>
      </c>
      <c r="Q184" s="55" t="s">
        <v>27</v>
      </c>
      <c r="R184" s="64" t="s">
        <v>32</v>
      </c>
      <c r="S184" s="54">
        <v>20601242657</v>
      </c>
      <c r="T184" s="55" t="s">
        <v>33</v>
      </c>
      <c r="U184" s="54" t="s">
        <v>123</v>
      </c>
      <c r="V184" s="54" t="s">
        <v>935</v>
      </c>
      <c r="W184" s="55" t="s">
        <v>333</v>
      </c>
      <c r="X184" s="55" t="s">
        <v>1028</v>
      </c>
      <c r="Y184" s="55" t="s">
        <v>31</v>
      </c>
      <c r="Z184" s="55" t="s">
        <v>31</v>
      </c>
      <c r="AA184" s="55" t="s">
        <v>31</v>
      </c>
      <c r="AB184" s="59" t="str">
        <f ca="1">DATEDIF(M184,TODAY(),"y")&amp;" AÑOS"</f>
        <v>32 AÑOS</v>
      </c>
      <c r="AC184" s="60" t="s">
        <v>111</v>
      </c>
      <c r="AD184" s="60" t="s">
        <v>27</v>
      </c>
      <c r="AE184" s="60"/>
      <c r="AF184" s="61">
        <v>45666</v>
      </c>
      <c r="AG184" s="59">
        <f t="shared" ca="1" si="36"/>
        <v>1</v>
      </c>
      <c r="AH184" s="59">
        <f t="shared" ca="1" si="37"/>
        <v>0</v>
      </c>
      <c r="AI184" s="89">
        <f t="shared" ca="1" si="38"/>
        <v>21</v>
      </c>
      <c r="AJ184" s="60"/>
      <c r="AK184" s="60" t="s">
        <v>961</v>
      </c>
    </row>
    <row r="185" spans="1:147" ht="32.25" hidden="1" x14ac:dyDescent="0.3">
      <c r="D185" s="55" t="s">
        <v>1275</v>
      </c>
      <c r="E185" s="55"/>
      <c r="F185" s="55" t="s">
        <v>28</v>
      </c>
      <c r="G185" s="55">
        <v>70854641</v>
      </c>
      <c r="H185" s="55" t="s">
        <v>1294</v>
      </c>
      <c r="I185" s="55" t="s">
        <v>1295</v>
      </c>
      <c r="J185" s="55" t="s">
        <v>1296</v>
      </c>
      <c r="K185" s="56" t="str">
        <f t="shared" si="35"/>
        <v>CHARCAPE RIOS JÓSE MIGUEL EDUARDO</v>
      </c>
      <c r="L185" s="55" t="s">
        <v>29</v>
      </c>
      <c r="M185" s="62">
        <v>34975</v>
      </c>
      <c r="N185" s="55">
        <v>994911685</v>
      </c>
      <c r="O185" s="132" t="s">
        <v>1297</v>
      </c>
      <c r="P185" s="87" t="s">
        <v>30</v>
      </c>
      <c r="Q185" s="55" t="s">
        <v>27</v>
      </c>
      <c r="R185" s="64" t="s">
        <v>32</v>
      </c>
      <c r="S185" s="54">
        <v>20601242657</v>
      </c>
      <c r="T185" s="55" t="s">
        <v>33</v>
      </c>
      <c r="U185" s="54" t="s">
        <v>123</v>
      </c>
      <c r="V185" s="54" t="s">
        <v>935</v>
      </c>
      <c r="W185" s="55" t="str">
        <f>AA185</f>
        <v>CUSCO</v>
      </c>
      <c r="X185" s="55" t="s">
        <v>1380</v>
      </c>
      <c r="Y185" s="55" t="s">
        <v>1298</v>
      </c>
      <c r="Z185" s="55" t="s">
        <v>1299</v>
      </c>
      <c r="AA185" s="55" t="s">
        <v>1300</v>
      </c>
      <c r="AB185" s="59" t="str">
        <f ca="1">DATEDIF(M185,TODAY(),"y")&amp;" AÑOS"</f>
        <v>30 AÑOS</v>
      </c>
      <c r="AC185" s="60" t="s">
        <v>34</v>
      </c>
      <c r="AD185" s="60" t="s">
        <v>27</v>
      </c>
      <c r="AE185" s="60"/>
      <c r="AF185" s="61">
        <v>45948</v>
      </c>
      <c r="AG185" s="59">
        <f t="shared" ca="1" si="36"/>
        <v>0</v>
      </c>
      <c r="AH185" s="59">
        <f t="shared" ca="1" si="37"/>
        <v>3</v>
      </c>
      <c r="AI185" s="89">
        <f t="shared" ca="1" si="38"/>
        <v>12</v>
      </c>
      <c r="AJ185" s="60"/>
      <c r="AK185" s="60" t="s">
        <v>961</v>
      </c>
    </row>
    <row r="186" spans="1:147" ht="32.25" hidden="1" x14ac:dyDescent="0.3">
      <c r="D186" s="55" t="s">
        <v>1346</v>
      </c>
      <c r="E186" s="55"/>
      <c r="F186" s="55" t="s">
        <v>28</v>
      </c>
      <c r="G186" s="55">
        <v>75755580</v>
      </c>
      <c r="H186" s="55" t="s">
        <v>1347</v>
      </c>
      <c r="I186" s="55" t="s">
        <v>1348</v>
      </c>
      <c r="J186" s="55" t="s">
        <v>1349</v>
      </c>
      <c r="K186" s="56" t="str">
        <f t="shared" si="35"/>
        <v>ANDRADE RICHETTER GABRIEL ROY</v>
      </c>
      <c r="L186" s="1"/>
      <c r="M186" s="62">
        <v>36428</v>
      </c>
      <c r="N186" s="55">
        <v>948792464</v>
      </c>
      <c r="O186" s="122" t="s">
        <v>1350</v>
      </c>
      <c r="P186" s="87" t="s">
        <v>30</v>
      </c>
      <c r="Q186" s="55" t="s">
        <v>27</v>
      </c>
      <c r="R186" s="64" t="s">
        <v>32</v>
      </c>
      <c r="S186" s="54">
        <v>20601242657</v>
      </c>
      <c r="T186" s="55" t="s">
        <v>33</v>
      </c>
      <c r="U186" s="54" t="s">
        <v>123</v>
      </c>
      <c r="V186" s="54" t="s">
        <v>935</v>
      </c>
      <c r="W186" s="55" t="s">
        <v>34</v>
      </c>
      <c r="X186" s="55" t="s">
        <v>1351</v>
      </c>
      <c r="Y186" s="55" t="s">
        <v>1352</v>
      </c>
      <c r="Z186" s="55" t="s">
        <v>34</v>
      </c>
      <c r="AA186" s="55" t="s">
        <v>45</v>
      </c>
      <c r="AB186" s="59" t="str">
        <f ca="1">DATEDIF(M186,TODAY(),"y")&amp;" AÑOS"</f>
        <v>26 AÑOS</v>
      </c>
      <c r="AC186" s="60" t="s">
        <v>34</v>
      </c>
      <c r="AD186" s="60" t="s">
        <v>27</v>
      </c>
      <c r="AE186" s="60"/>
      <c r="AF186" s="61">
        <v>45976</v>
      </c>
      <c r="AG186" s="59">
        <f t="shared" ca="1" si="36"/>
        <v>0</v>
      </c>
      <c r="AH186" s="59">
        <f t="shared" ca="1" si="37"/>
        <v>2</v>
      </c>
      <c r="AI186" s="89">
        <f t="shared" ca="1" si="38"/>
        <v>15</v>
      </c>
      <c r="AJ186" s="60"/>
      <c r="AK186" s="60" t="s">
        <v>962</v>
      </c>
    </row>
    <row r="187" spans="1:147" ht="32.25" hidden="1" x14ac:dyDescent="0.3">
      <c r="D187" s="54" t="s">
        <v>912</v>
      </c>
      <c r="E187" s="55"/>
      <c r="F187" s="55" t="s">
        <v>28</v>
      </c>
      <c r="G187" s="55">
        <v>70280606</v>
      </c>
      <c r="H187" s="55" t="s">
        <v>907</v>
      </c>
      <c r="I187" s="55" t="s">
        <v>906</v>
      </c>
      <c r="J187" s="55" t="s">
        <v>908</v>
      </c>
      <c r="K187" s="56" t="str">
        <f>CONCATENATE(H187," ",I187," ",J187)</f>
        <v>HORNA BURGOS HUGO JORDAN</v>
      </c>
      <c r="L187" s="55" t="s">
        <v>29</v>
      </c>
      <c r="M187" s="62">
        <v>35288</v>
      </c>
      <c r="N187" s="55">
        <v>957020649</v>
      </c>
      <c r="O187" s="122" t="s">
        <v>1167</v>
      </c>
      <c r="P187" s="87" t="s">
        <v>30</v>
      </c>
      <c r="Q187" s="55" t="s">
        <v>27</v>
      </c>
      <c r="R187" s="64" t="s">
        <v>32</v>
      </c>
      <c r="S187" s="55">
        <v>20601242657</v>
      </c>
      <c r="T187" s="55" t="s">
        <v>33</v>
      </c>
      <c r="U187" s="54" t="s">
        <v>123</v>
      </c>
      <c r="V187" s="54" t="s">
        <v>407</v>
      </c>
      <c r="W187" s="55" t="s">
        <v>45</v>
      </c>
      <c r="X187" s="55" t="s">
        <v>909</v>
      </c>
      <c r="Y187" s="55" t="s">
        <v>34</v>
      </c>
      <c r="Z187" s="55" t="s">
        <v>34</v>
      </c>
      <c r="AA187" s="55" t="s">
        <v>45</v>
      </c>
      <c r="AB187" s="59" t="str">
        <f ca="1">DATEDIF(M187,TODAY(),"y")&amp;" AÑOS"</f>
        <v>29 AÑOS</v>
      </c>
      <c r="AC187" s="60" t="s">
        <v>34</v>
      </c>
      <c r="AD187" s="60" t="s">
        <v>27</v>
      </c>
      <c r="AE187" s="60"/>
      <c r="AF187" s="61">
        <v>45344</v>
      </c>
      <c r="AG187" s="59">
        <f ca="1">DATEDIF(AF187,TODAY(),"Y")</f>
        <v>1</v>
      </c>
      <c r="AH187" s="59">
        <f ca="1">DATEDIF(AF187,TODAY(),"YM")</f>
        <v>11</v>
      </c>
      <c r="AI187" s="89">
        <f ca="1">DATEDIF(AF187,TODAY(),"MD")</f>
        <v>8</v>
      </c>
      <c r="AJ187" s="60"/>
      <c r="AK187" s="60"/>
    </row>
    <row r="188" spans="1:147" ht="31.5" hidden="1" x14ac:dyDescent="0.25">
      <c r="D188" s="55" t="s">
        <v>411</v>
      </c>
      <c r="E188" s="124"/>
      <c r="F188" s="54" t="s">
        <v>28</v>
      </c>
      <c r="G188" s="55">
        <v>73712771</v>
      </c>
      <c r="H188" s="54" t="s">
        <v>397</v>
      </c>
      <c r="I188" s="54" t="s">
        <v>35</v>
      </c>
      <c r="J188" s="54" t="s">
        <v>398</v>
      </c>
      <c r="K188" s="56" t="str">
        <f>CONCATENATE(H188," ",I188," ",J188)</f>
        <v>POMPA CUEVA NELSON ELVIS</v>
      </c>
      <c r="L188" s="54" t="s">
        <v>29</v>
      </c>
      <c r="M188" s="57">
        <v>36356</v>
      </c>
      <c r="N188" s="54">
        <v>913282267</v>
      </c>
      <c r="O188" s="123" t="s">
        <v>1162</v>
      </c>
      <c r="P188" s="88" t="s">
        <v>30</v>
      </c>
      <c r="Q188" s="54" t="s">
        <v>27</v>
      </c>
      <c r="R188" s="64" t="s">
        <v>32</v>
      </c>
      <c r="S188" s="54">
        <v>20601242657</v>
      </c>
      <c r="T188" s="54" t="s">
        <v>33</v>
      </c>
      <c r="U188" s="54" t="s">
        <v>123</v>
      </c>
      <c r="V188" s="54" t="s">
        <v>109</v>
      </c>
      <c r="W188" s="54" t="s">
        <v>31</v>
      </c>
      <c r="X188" s="54" t="s">
        <v>399</v>
      </c>
      <c r="Y188" s="54" t="s">
        <v>31</v>
      </c>
      <c r="Z188" s="54" t="s">
        <v>31</v>
      </c>
      <c r="AA188" s="54" t="s">
        <v>31</v>
      </c>
      <c r="AB188" s="59" t="str">
        <f ca="1">DATEDIF(M188,TODAY(),"y")&amp;" AÑOS"</f>
        <v>26 AÑOS</v>
      </c>
      <c r="AC188" s="60" t="s">
        <v>111</v>
      </c>
      <c r="AD188" s="60" t="s">
        <v>27</v>
      </c>
      <c r="AE188" s="60"/>
      <c r="AF188" s="61">
        <v>44427</v>
      </c>
      <c r="AG188" s="59">
        <f ca="1">DATEDIF(AF188,TODAY(),"Y")</f>
        <v>4</v>
      </c>
      <c r="AH188" s="59">
        <f ca="1">DATEDIF(AF188,TODAY(),"YM")</f>
        <v>5</v>
      </c>
      <c r="AI188" s="89">
        <f ca="1">DATEDIF(AF188,TODAY(),"MD")</f>
        <v>11</v>
      </c>
      <c r="AJ188" s="60"/>
      <c r="AK188" s="60" t="s">
        <v>1004</v>
      </c>
    </row>
    <row r="189" spans="1:147" s="41" customFormat="1" ht="32.25" hidden="1" x14ac:dyDescent="0.3">
      <c r="A189" s="55">
        <v>245</v>
      </c>
      <c r="B189" s="55" t="s">
        <v>27</v>
      </c>
      <c r="C189" s="55" t="s">
        <v>512</v>
      </c>
      <c r="D189" s="55" t="s">
        <v>1137</v>
      </c>
      <c r="E189" s="124">
        <v>45784</v>
      </c>
      <c r="F189" s="55" t="s">
        <v>28</v>
      </c>
      <c r="G189" s="55">
        <v>47241640</v>
      </c>
      <c r="H189" s="55" t="s">
        <v>439</v>
      </c>
      <c r="I189" s="55" t="s">
        <v>1134</v>
      </c>
      <c r="J189" s="55" t="s">
        <v>1135</v>
      </c>
      <c r="K189" s="56" t="str">
        <f t="shared" ref="K189" si="39">CONCATENATE(H189," ",I189," ",J189)</f>
        <v>QUISPE GONZALES JOSUE JONATAN</v>
      </c>
      <c r="L189" s="55" t="s">
        <v>29</v>
      </c>
      <c r="M189" s="62">
        <v>33190</v>
      </c>
      <c r="N189" s="55">
        <v>927432065</v>
      </c>
      <c r="O189" s="122" t="s">
        <v>1193</v>
      </c>
      <c r="P189" s="87" t="s">
        <v>30</v>
      </c>
      <c r="Q189" s="55" t="s">
        <v>27</v>
      </c>
      <c r="R189" s="64" t="s">
        <v>32</v>
      </c>
      <c r="S189" s="54">
        <v>20601242657</v>
      </c>
      <c r="T189" s="55" t="s">
        <v>33</v>
      </c>
      <c r="U189" s="54" t="s">
        <v>123</v>
      </c>
      <c r="V189" s="54" t="s">
        <v>935</v>
      </c>
      <c r="W189" s="55" t="s">
        <v>333</v>
      </c>
      <c r="X189" s="55" t="s">
        <v>1200</v>
      </c>
      <c r="Y189" s="55" t="s">
        <v>104</v>
      </c>
      <c r="Z189" s="55" t="s">
        <v>521</v>
      </c>
      <c r="AA189" s="55" t="s">
        <v>333</v>
      </c>
      <c r="AB189" s="59" t="str">
        <f t="shared" ref="AB189" ca="1" si="40">DATEDIF(M189,TODAY(),"y")&amp;" AÑOS"</f>
        <v>35 AÑOS</v>
      </c>
      <c r="AC189" s="60" t="s">
        <v>34</v>
      </c>
      <c r="AD189" s="60" t="s">
        <v>27</v>
      </c>
      <c r="AE189" s="60"/>
      <c r="AF189" s="61">
        <v>45745</v>
      </c>
      <c r="AG189" s="59">
        <f t="shared" ref="AG189" ca="1" si="41">DATEDIF(AF189,TODAY(),"Y")</f>
        <v>0</v>
      </c>
      <c r="AH189" s="59">
        <f t="shared" ref="AH189" ca="1" si="42">DATEDIF(AF189,TODAY(),"YM")</f>
        <v>10</v>
      </c>
      <c r="AI189" s="89">
        <f t="shared" ref="AI189" ca="1" si="43">DATEDIF(AF189,TODAY(),"MD")</f>
        <v>1</v>
      </c>
      <c r="AJ189" s="60"/>
      <c r="AK189" s="60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</row>
    <row r="190" spans="1:147" s="41" customFormat="1" ht="32.25" hidden="1" x14ac:dyDescent="0.3">
      <c r="A190" s="55">
        <v>245</v>
      </c>
      <c r="B190" s="55" t="s">
        <v>27</v>
      </c>
      <c r="C190" s="55" t="s">
        <v>512</v>
      </c>
      <c r="D190" s="55" t="s">
        <v>1137</v>
      </c>
      <c r="E190" s="124">
        <v>45784</v>
      </c>
      <c r="F190" s="55" t="s">
        <v>28</v>
      </c>
      <c r="G190" s="55">
        <v>47241640</v>
      </c>
      <c r="H190" s="55" t="s">
        <v>439</v>
      </c>
      <c r="I190" s="55" t="s">
        <v>1134</v>
      </c>
      <c r="J190" s="55" t="s">
        <v>1135</v>
      </c>
      <c r="K190" s="56" t="str">
        <f t="shared" ref="K190:K195" si="44">CONCATENATE(H190," ",I190," ",J190)</f>
        <v>QUISPE GONZALES JOSUE JONATAN</v>
      </c>
      <c r="L190" s="55" t="s">
        <v>29</v>
      </c>
      <c r="M190" s="62">
        <v>33190</v>
      </c>
      <c r="N190" s="55">
        <v>927432065</v>
      </c>
      <c r="O190" s="122" t="s">
        <v>1193</v>
      </c>
      <c r="P190" s="87" t="s">
        <v>30</v>
      </c>
      <c r="Q190" s="55" t="s">
        <v>27</v>
      </c>
      <c r="R190" s="64" t="s">
        <v>32</v>
      </c>
      <c r="S190" s="54">
        <v>20601242657</v>
      </c>
      <c r="T190" s="55" t="s">
        <v>33</v>
      </c>
      <c r="U190" s="54" t="s">
        <v>123</v>
      </c>
      <c r="V190" s="54" t="s">
        <v>935</v>
      </c>
      <c r="W190" s="55" t="s">
        <v>333</v>
      </c>
      <c r="X190" s="55" t="s">
        <v>1200</v>
      </c>
      <c r="Y190" s="55" t="s">
        <v>104</v>
      </c>
      <c r="Z190" s="55" t="s">
        <v>521</v>
      </c>
      <c r="AA190" s="55" t="s">
        <v>333</v>
      </c>
      <c r="AB190" s="59" t="str">
        <f t="shared" ref="AB190:AB195" ca="1" si="45">DATEDIF(M190,TODAY(),"y")&amp;" AÑOS"</f>
        <v>35 AÑOS</v>
      </c>
      <c r="AC190" s="60" t="s">
        <v>34</v>
      </c>
      <c r="AD190" s="60" t="s">
        <v>27</v>
      </c>
      <c r="AE190" s="60"/>
      <c r="AF190" s="61">
        <v>45745</v>
      </c>
      <c r="AG190" s="59">
        <f t="shared" ref="AG190:AG195" ca="1" si="46">DATEDIF(AF190,TODAY(),"Y")</f>
        <v>0</v>
      </c>
      <c r="AH190" s="59">
        <f t="shared" ref="AH190:AH195" ca="1" si="47">DATEDIF(AF190,TODAY(),"YM")</f>
        <v>10</v>
      </c>
      <c r="AI190" s="89">
        <f t="shared" ref="AI190:AI195" ca="1" si="48">DATEDIF(AF190,TODAY(),"MD")</f>
        <v>1</v>
      </c>
      <c r="AJ190" s="60"/>
      <c r="AK190" s="60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</row>
    <row r="191" spans="1:147" s="1" customFormat="1" ht="32.25" hidden="1" x14ac:dyDescent="0.3">
      <c r="A191" s="55">
        <v>268</v>
      </c>
      <c r="B191" s="55" t="s">
        <v>27</v>
      </c>
      <c r="C191" s="55" t="s">
        <v>512</v>
      </c>
      <c r="D191" s="55" t="s">
        <v>1283</v>
      </c>
      <c r="E191" s="55"/>
      <c r="F191" s="55" t="s">
        <v>28</v>
      </c>
      <c r="G191" s="55">
        <v>74816081</v>
      </c>
      <c r="H191" s="55" t="s">
        <v>921</v>
      </c>
      <c r="I191" s="55" t="s">
        <v>922</v>
      </c>
      <c r="J191" s="55" t="s">
        <v>1284</v>
      </c>
      <c r="K191" s="56" t="str">
        <f t="shared" si="44"/>
        <v>TISNADO ARRESTEGUI JEFFERSON JAMPIER</v>
      </c>
      <c r="L191" s="55" t="s">
        <v>29</v>
      </c>
      <c r="M191" s="62">
        <v>37844</v>
      </c>
      <c r="N191" s="55">
        <v>921453564</v>
      </c>
      <c r="O191" s="122" t="s">
        <v>1285</v>
      </c>
      <c r="P191" s="87" t="s">
        <v>30</v>
      </c>
      <c r="Q191" s="55" t="s">
        <v>27</v>
      </c>
      <c r="R191" s="64" t="s">
        <v>32</v>
      </c>
      <c r="S191" s="54">
        <v>20601242657</v>
      </c>
      <c r="T191" s="55" t="s">
        <v>33</v>
      </c>
      <c r="U191" s="54" t="s">
        <v>123</v>
      </c>
      <c r="V191" s="54" t="s">
        <v>935</v>
      </c>
      <c r="W191" s="55" t="str">
        <f>AA191</f>
        <v>CAJAMARCA</v>
      </c>
      <c r="X191" s="55" t="s">
        <v>1382</v>
      </c>
      <c r="Y191" s="55" t="s">
        <v>925</v>
      </c>
      <c r="Z191" s="55" t="s">
        <v>926</v>
      </c>
      <c r="AA191" s="55" t="s">
        <v>31</v>
      </c>
      <c r="AB191" s="59" t="str">
        <f t="shared" ca="1" si="45"/>
        <v>22 AÑOS</v>
      </c>
      <c r="AC191" s="60" t="s">
        <v>34</v>
      </c>
      <c r="AD191" s="60" t="s">
        <v>27</v>
      </c>
      <c r="AE191" s="60"/>
      <c r="AF191" s="61">
        <v>45953</v>
      </c>
      <c r="AG191" s="59">
        <f t="shared" ca="1" si="46"/>
        <v>0</v>
      </c>
      <c r="AH191" s="59">
        <f t="shared" ca="1" si="47"/>
        <v>3</v>
      </c>
      <c r="AI191" s="89">
        <f t="shared" ca="1" si="48"/>
        <v>7</v>
      </c>
      <c r="AJ191" s="60"/>
      <c r="AK191" s="60"/>
    </row>
    <row r="192" spans="1:147" s="1" customFormat="1" ht="32.25" hidden="1" x14ac:dyDescent="0.3">
      <c r="A192" s="55">
        <v>265</v>
      </c>
      <c r="B192" s="55" t="s">
        <v>27</v>
      </c>
      <c r="C192" s="55" t="s">
        <v>512</v>
      </c>
      <c r="D192" s="55" t="s">
        <v>1274</v>
      </c>
      <c r="E192" s="55"/>
      <c r="F192" s="55" t="s">
        <v>28</v>
      </c>
      <c r="G192" s="55">
        <v>71713034</v>
      </c>
      <c r="H192" s="55" t="s">
        <v>1291</v>
      </c>
      <c r="I192" s="55" t="s">
        <v>192</v>
      </c>
      <c r="J192" s="55" t="s">
        <v>1292</v>
      </c>
      <c r="K192" s="56" t="str">
        <f t="shared" si="44"/>
        <v>TUMBAJULCA RUIZ ENRIQUE DECIDERIO</v>
      </c>
      <c r="L192" s="55" t="s">
        <v>29</v>
      </c>
      <c r="M192" s="62">
        <v>34470</v>
      </c>
      <c r="N192" s="55">
        <v>916974215</v>
      </c>
      <c r="O192" s="132" t="s">
        <v>1293</v>
      </c>
      <c r="P192" s="87" t="s">
        <v>30</v>
      </c>
      <c r="Q192" s="55" t="s">
        <v>27</v>
      </c>
      <c r="R192" s="64" t="s">
        <v>32</v>
      </c>
      <c r="S192" s="54">
        <v>20601242657</v>
      </c>
      <c r="T192" s="55" t="s">
        <v>33</v>
      </c>
      <c r="U192" s="54" t="s">
        <v>123</v>
      </c>
      <c r="V192" s="54" t="s">
        <v>935</v>
      </c>
      <c r="W192" s="55" t="str">
        <f>AA192</f>
        <v>LA LIBERTAD</v>
      </c>
      <c r="X192" s="55" t="s">
        <v>1379</v>
      </c>
      <c r="Y192" s="55" t="s">
        <v>111</v>
      </c>
      <c r="Z192" s="55" t="s">
        <v>459</v>
      </c>
      <c r="AA192" s="55" t="s">
        <v>45</v>
      </c>
      <c r="AB192" s="59" t="str">
        <f t="shared" ca="1" si="45"/>
        <v>31 AÑOS</v>
      </c>
      <c r="AC192" s="60" t="s">
        <v>111</v>
      </c>
      <c r="AD192" s="60" t="s">
        <v>27</v>
      </c>
      <c r="AE192" s="60"/>
      <c r="AF192" s="61">
        <v>45948</v>
      </c>
      <c r="AG192" s="59">
        <f t="shared" ca="1" si="46"/>
        <v>0</v>
      </c>
      <c r="AH192" s="59">
        <f t="shared" ca="1" si="47"/>
        <v>3</v>
      </c>
      <c r="AI192" s="89">
        <f t="shared" ca="1" si="48"/>
        <v>12</v>
      </c>
      <c r="AJ192" s="60"/>
      <c r="AK192" s="60"/>
    </row>
    <row r="193" spans="1:147" s="41" customFormat="1" ht="32.25" hidden="1" x14ac:dyDescent="0.3">
      <c r="A193" s="55">
        <v>258</v>
      </c>
      <c r="B193" s="55" t="s">
        <v>27</v>
      </c>
      <c r="C193" s="55" t="s">
        <v>512</v>
      </c>
      <c r="D193" s="55" t="s">
        <v>1239</v>
      </c>
      <c r="E193" s="55"/>
      <c r="F193" s="55" t="s">
        <v>28</v>
      </c>
      <c r="G193" s="55">
        <v>71770676</v>
      </c>
      <c r="H193" s="55" t="s">
        <v>709</v>
      </c>
      <c r="I193" s="55" t="s">
        <v>94</v>
      </c>
      <c r="J193" s="55" t="s">
        <v>491</v>
      </c>
      <c r="K193" s="56" t="str">
        <f t="shared" si="44"/>
        <v>SALAZAR  ARCE GINO WILBERTO</v>
      </c>
      <c r="L193" s="55" t="s">
        <v>29</v>
      </c>
      <c r="M193" s="62">
        <v>36139</v>
      </c>
      <c r="N193" s="55">
        <v>939434053</v>
      </c>
      <c r="O193" s="128" t="s">
        <v>1246</v>
      </c>
      <c r="P193" s="87" t="s">
        <v>30</v>
      </c>
      <c r="Q193" s="55" t="s">
        <v>27</v>
      </c>
      <c r="R193" s="64" t="s">
        <v>32</v>
      </c>
      <c r="S193" s="54">
        <v>20601242657</v>
      </c>
      <c r="T193" s="55" t="s">
        <v>33</v>
      </c>
      <c r="U193" s="54" t="s">
        <v>123</v>
      </c>
      <c r="V193" s="54" t="s">
        <v>935</v>
      </c>
      <c r="W193" s="55" t="s">
        <v>31</v>
      </c>
      <c r="X193" s="55" t="s">
        <v>1233</v>
      </c>
      <c r="Y193" s="55" t="s">
        <v>509</v>
      </c>
      <c r="Z193" s="55" t="s">
        <v>31</v>
      </c>
      <c r="AA193" s="55" t="s">
        <v>31</v>
      </c>
      <c r="AB193" s="59" t="str">
        <f t="shared" ca="1" si="45"/>
        <v>27 AÑOS</v>
      </c>
      <c r="AC193" s="60" t="s">
        <v>111</v>
      </c>
      <c r="AD193" s="60" t="s">
        <v>27</v>
      </c>
      <c r="AE193" s="60"/>
      <c r="AF193" s="61">
        <v>45885</v>
      </c>
      <c r="AG193" s="59">
        <f t="shared" ca="1" si="46"/>
        <v>0</v>
      </c>
      <c r="AH193" s="59">
        <f t="shared" ca="1" si="47"/>
        <v>5</v>
      </c>
      <c r="AI193" s="89">
        <f t="shared" ca="1" si="48"/>
        <v>14</v>
      </c>
      <c r="AJ193" s="60"/>
      <c r="AK193" s="60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</row>
    <row r="194" spans="1:147" s="1" customFormat="1" ht="32.25" hidden="1" x14ac:dyDescent="0.3">
      <c r="A194" s="55">
        <v>263</v>
      </c>
      <c r="B194" s="55" t="s">
        <v>27</v>
      </c>
      <c r="C194" s="55" t="s">
        <v>512</v>
      </c>
      <c r="D194" s="55" t="s">
        <v>1268</v>
      </c>
      <c r="E194" s="55"/>
      <c r="F194" s="55" t="s">
        <v>28</v>
      </c>
      <c r="G194" s="55">
        <v>75005062</v>
      </c>
      <c r="H194" s="55" t="s">
        <v>709</v>
      </c>
      <c r="I194" s="55" t="s">
        <v>94</v>
      </c>
      <c r="J194" s="55" t="s">
        <v>486</v>
      </c>
      <c r="K194" s="56" t="str">
        <f t="shared" si="44"/>
        <v>SALAZAR  ARCE PABLO CESAR</v>
      </c>
      <c r="L194" s="55" t="s">
        <v>29</v>
      </c>
      <c r="M194" s="62">
        <v>35431</v>
      </c>
      <c r="N194" s="55">
        <v>978035067</v>
      </c>
      <c r="O194" s="132" t="s">
        <v>1266</v>
      </c>
      <c r="P194" s="87" t="s">
        <v>30</v>
      </c>
      <c r="Q194" s="55" t="s">
        <v>27</v>
      </c>
      <c r="R194" s="64" t="s">
        <v>32</v>
      </c>
      <c r="S194" s="54">
        <v>20601242657</v>
      </c>
      <c r="T194" s="55" t="s">
        <v>33</v>
      </c>
      <c r="U194" s="54" t="s">
        <v>123</v>
      </c>
      <c r="V194" s="54" t="s">
        <v>935</v>
      </c>
      <c r="W194" s="55" t="s">
        <v>31</v>
      </c>
      <c r="X194" s="55" t="s">
        <v>1377</v>
      </c>
      <c r="Y194" s="55" t="s">
        <v>509</v>
      </c>
      <c r="Z194" s="55" t="s">
        <v>31</v>
      </c>
      <c r="AA194" s="55" t="s">
        <v>31</v>
      </c>
      <c r="AB194" s="59" t="str">
        <f t="shared" ca="1" si="45"/>
        <v>29 AÑOS</v>
      </c>
      <c r="AC194" s="60" t="s">
        <v>111</v>
      </c>
      <c r="AD194" s="60" t="s">
        <v>27</v>
      </c>
      <c r="AE194" s="60"/>
      <c r="AF194" s="61">
        <v>45932</v>
      </c>
      <c r="AG194" s="59">
        <f t="shared" ca="1" si="46"/>
        <v>0</v>
      </c>
      <c r="AH194" s="59">
        <f t="shared" ca="1" si="47"/>
        <v>3</v>
      </c>
      <c r="AI194" s="89">
        <f t="shared" ca="1" si="48"/>
        <v>28</v>
      </c>
      <c r="AJ194" s="60"/>
      <c r="AK194" s="60"/>
    </row>
    <row r="195" spans="1:147" s="147" customFormat="1" ht="32.25" hidden="1" x14ac:dyDescent="0.3">
      <c r="A195" s="135">
        <v>176</v>
      </c>
      <c r="B195" s="135" t="s">
        <v>27</v>
      </c>
      <c r="C195" s="135" t="s">
        <v>512</v>
      </c>
      <c r="D195" s="135" t="s">
        <v>1435</v>
      </c>
      <c r="E195" s="135"/>
      <c r="F195" s="135" t="s">
        <v>28</v>
      </c>
      <c r="G195" s="135">
        <v>74662476</v>
      </c>
      <c r="H195" s="135" t="s">
        <v>1436</v>
      </c>
      <c r="I195" s="135" t="s">
        <v>1437</v>
      </c>
      <c r="J195" s="135" t="s">
        <v>1438</v>
      </c>
      <c r="K195" s="136" t="str">
        <f t="shared" si="44"/>
        <v>TARRILLO  COLLANTES EDWIN ALEXANDER</v>
      </c>
      <c r="L195" s="135" t="s">
        <v>29</v>
      </c>
      <c r="M195" s="137">
        <v>34925</v>
      </c>
      <c r="N195" s="135">
        <v>965485265</v>
      </c>
      <c r="O195" s="138" t="s">
        <v>1439</v>
      </c>
      <c r="P195" s="139" t="s">
        <v>30</v>
      </c>
      <c r="Q195" s="135" t="s">
        <v>27</v>
      </c>
      <c r="R195" s="140" t="s">
        <v>32</v>
      </c>
      <c r="S195" s="141">
        <v>20601242657</v>
      </c>
      <c r="T195" s="135" t="s">
        <v>33</v>
      </c>
      <c r="U195" s="141" t="s">
        <v>123</v>
      </c>
      <c r="V195" s="141" t="s">
        <v>1138</v>
      </c>
      <c r="W195" s="135" t="s">
        <v>333</v>
      </c>
      <c r="X195" s="135" t="s">
        <v>1440</v>
      </c>
      <c r="Y195" s="135" t="s">
        <v>751</v>
      </c>
      <c r="Z195" s="135" t="s">
        <v>521</v>
      </c>
      <c r="AA195" s="135" t="s">
        <v>333</v>
      </c>
      <c r="AB195" s="142" t="str">
        <f t="shared" ca="1" si="45"/>
        <v>30 AÑOS</v>
      </c>
      <c r="AC195" s="143" t="s">
        <v>34</v>
      </c>
      <c r="AD195" s="143" t="s">
        <v>27</v>
      </c>
      <c r="AE195" s="143"/>
      <c r="AF195" s="144">
        <v>45042</v>
      </c>
      <c r="AG195" s="142">
        <f t="shared" ca="1" si="46"/>
        <v>2</v>
      </c>
      <c r="AH195" s="142">
        <f t="shared" ca="1" si="47"/>
        <v>9</v>
      </c>
      <c r="AI195" s="145">
        <f t="shared" ca="1" si="48"/>
        <v>4</v>
      </c>
      <c r="AJ195" s="143"/>
      <c r="AK195" s="143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6"/>
      <c r="AW195" s="146"/>
      <c r="AX195" s="146"/>
      <c r="AY195" s="146"/>
      <c r="AZ195" s="146"/>
      <c r="BA195" s="146"/>
      <c r="BB195" s="146"/>
      <c r="BC195" s="146"/>
      <c r="BD195" s="146"/>
      <c r="BE195" s="146"/>
      <c r="BF195" s="146"/>
      <c r="BG195" s="146"/>
      <c r="BH195" s="146"/>
      <c r="BI195" s="146"/>
      <c r="BJ195" s="146"/>
      <c r="BK195" s="146"/>
      <c r="BL195" s="146"/>
      <c r="BM195" s="146"/>
      <c r="BN195" s="146"/>
      <c r="BO195" s="146"/>
      <c r="BP195" s="146"/>
      <c r="BQ195" s="146"/>
      <c r="BR195" s="146"/>
      <c r="BS195" s="146"/>
      <c r="BT195" s="146"/>
      <c r="BU195" s="146"/>
      <c r="BV195" s="146"/>
      <c r="BW195" s="146"/>
      <c r="BX195" s="146"/>
      <c r="BY195" s="146"/>
      <c r="BZ195" s="146"/>
      <c r="CA195" s="146"/>
      <c r="CB195" s="146"/>
      <c r="CC195" s="146"/>
      <c r="CD195" s="146"/>
      <c r="CE195" s="146"/>
      <c r="CF195" s="146"/>
      <c r="CG195" s="146"/>
      <c r="CH195" s="146"/>
      <c r="CI195" s="146"/>
      <c r="CJ195" s="146"/>
      <c r="CK195" s="146"/>
      <c r="CL195" s="146"/>
      <c r="CM195" s="146"/>
      <c r="CN195" s="146"/>
      <c r="CO195" s="146"/>
      <c r="CP195" s="146"/>
      <c r="CQ195" s="146"/>
      <c r="CR195" s="146"/>
      <c r="CS195" s="146"/>
      <c r="CT195" s="146"/>
      <c r="CU195" s="146"/>
      <c r="CV195" s="146"/>
      <c r="CW195" s="146"/>
      <c r="CX195" s="146"/>
      <c r="CY195" s="146"/>
      <c r="CZ195" s="146"/>
      <c r="DA195" s="146"/>
      <c r="DB195" s="146"/>
      <c r="DC195" s="146"/>
      <c r="DD195" s="146"/>
      <c r="DE195" s="146"/>
      <c r="DF195" s="146"/>
      <c r="DG195" s="146"/>
      <c r="DH195" s="146"/>
      <c r="DI195" s="146"/>
      <c r="DJ195" s="146"/>
      <c r="DK195" s="146"/>
      <c r="DL195" s="146"/>
      <c r="DM195" s="146"/>
      <c r="DN195" s="146"/>
      <c r="DO195" s="146"/>
      <c r="DP195" s="146"/>
      <c r="DQ195" s="146"/>
      <c r="DR195" s="146"/>
      <c r="DS195" s="146"/>
      <c r="DT195" s="146"/>
      <c r="DU195" s="146"/>
      <c r="DV195" s="146"/>
      <c r="DW195" s="146"/>
      <c r="DX195" s="146"/>
      <c r="DY195" s="146"/>
      <c r="DZ195" s="146"/>
      <c r="EA195" s="146"/>
      <c r="EB195" s="146"/>
      <c r="EC195" s="146"/>
      <c r="ED195" s="146"/>
      <c r="EE195" s="146"/>
      <c r="EF195" s="146"/>
      <c r="EG195" s="146"/>
      <c r="EH195" s="146"/>
      <c r="EI195" s="146"/>
      <c r="EJ195" s="146"/>
      <c r="EK195" s="146"/>
      <c r="EL195" s="146"/>
      <c r="EM195" s="146"/>
      <c r="EN195" s="146"/>
      <c r="EO195" s="146"/>
      <c r="EP195" s="146"/>
      <c r="EQ195" s="146"/>
    </row>
    <row r="196" spans="1:147" s="1" customFormat="1" ht="32.25" hidden="1" x14ac:dyDescent="0.3">
      <c r="A196" s="55">
        <v>259</v>
      </c>
      <c r="B196" s="55" t="s">
        <v>27</v>
      </c>
      <c r="C196" s="55" t="s">
        <v>512</v>
      </c>
      <c r="D196" s="55" t="s">
        <v>1247</v>
      </c>
      <c r="E196" s="55"/>
      <c r="F196" s="55" t="s">
        <v>28</v>
      </c>
      <c r="G196" s="55">
        <v>76403935</v>
      </c>
      <c r="H196" s="55" t="s">
        <v>604</v>
      </c>
      <c r="I196" s="55" t="s">
        <v>1265</v>
      </c>
      <c r="J196" s="55" t="s">
        <v>1236</v>
      </c>
      <c r="K196" s="56" t="str">
        <f t="shared" ref="K196" si="49">CONCATENATE(H196," ",I196," ",J196)</f>
        <v>VARGAS ASTO EDINSON YAIR</v>
      </c>
      <c r="L196" s="55" t="s">
        <v>29</v>
      </c>
      <c r="M196" s="62">
        <v>34808</v>
      </c>
      <c r="N196" s="55">
        <v>986214841</v>
      </c>
      <c r="O196" s="132" t="s">
        <v>1251</v>
      </c>
      <c r="P196" s="87" t="s">
        <v>30</v>
      </c>
      <c r="Q196" s="55" t="s">
        <v>27</v>
      </c>
      <c r="R196" s="64" t="s">
        <v>32</v>
      </c>
      <c r="S196" s="54">
        <v>20601242657</v>
      </c>
      <c r="T196" s="55" t="s">
        <v>33</v>
      </c>
      <c r="U196" s="54" t="s">
        <v>123</v>
      </c>
      <c r="V196" s="54" t="s">
        <v>935</v>
      </c>
      <c r="W196" s="55" t="s">
        <v>31</v>
      </c>
      <c r="X196" s="55" t="s">
        <v>1233</v>
      </c>
      <c r="Y196" s="55" t="s">
        <v>1250</v>
      </c>
      <c r="Z196" s="55" t="s">
        <v>1249</v>
      </c>
      <c r="AA196" s="55" t="s">
        <v>45</v>
      </c>
      <c r="AB196" s="59" t="str">
        <f t="shared" ref="AB196" ca="1" si="50">DATEDIF(M196,TODAY(),"y")&amp;" AÑOS"</f>
        <v>30 AÑOS</v>
      </c>
      <c r="AC196" s="60" t="s">
        <v>34</v>
      </c>
      <c r="AD196" s="60" t="s">
        <v>27</v>
      </c>
      <c r="AE196" s="60"/>
      <c r="AF196" s="61">
        <v>45918</v>
      </c>
      <c r="AG196" s="59">
        <f t="shared" ref="AG196" ca="1" si="51">DATEDIF(AF196,TODAY(),"Y")</f>
        <v>0</v>
      </c>
      <c r="AH196" s="59">
        <f t="shared" ref="AH196" ca="1" si="52">DATEDIF(AF196,TODAY(),"YM")</f>
        <v>4</v>
      </c>
      <c r="AI196" s="89">
        <f t="shared" ref="AI196" ca="1" si="53">DATEDIF(AF196,TODAY(),"MD")</f>
        <v>12</v>
      </c>
      <c r="AJ196" s="60"/>
      <c r="AK196" s="60"/>
    </row>
  </sheetData>
  <autoFilter ref="A4:AK196" xr:uid="{B810BAEE-082B-42CE-8269-685EA2C3003B}">
    <filterColumn colId="10">
      <filters>
        <filter val="SALAZAR ARCE GINO"/>
        <filter val="VASQUEZ LARA ELVIS"/>
      </filters>
    </filterColumn>
    <filterColumn colId="32" showButton="0"/>
    <filterColumn colId="33" showButton="0"/>
  </autoFilter>
  <mergeCells count="2">
    <mergeCell ref="H3:K3"/>
    <mergeCell ref="AG4:AI4"/>
  </mergeCells>
  <phoneticPr fontId="8" type="noConversion"/>
  <conditionalFormatting sqref="G5">
    <cfRule type="duplicateValues" dxfId="719" priority="668"/>
    <cfRule type="duplicateValues" dxfId="718" priority="666"/>
    <cfRule type="duplicateValues" dxfId="717" priority="667"/>
    <cfRule type="duplicateValues" dxfId="716" priority="669"/>
    <cfRule type="duplicateValues" dxfId="715" priority="670"/>
  </conditionalFormatting>
  <conditionalFormatting sqref="G6">
    <cfRule type="duplicateValues" dxfId="714" priority="675"/>
    <cfRule type="duplicateValues" dxfId="713" priority="671"/>
    <cfRule type="duplicateValues" dxfId="712" priority="672"/>
    <cfRule type="duplicateValues" dxfId="711" priority="673"/>
    <cfRule type="duplicateValues" dxfId="710" priority="674"/>
  </conditionalFormatting>
  <conditionalFormatting sqref="G7">
    <cfRule type="duplicateValues" dxfId="709" priority="661"/>
    <cfRule type="duplicateValues" dxfId="708" priority="665"/>
    <cfRule type="duplicateValues" dxfId="707" priority="664"/>
    <cfRule type="duplicateValues" dxfId="706" priority="663"/>
    <cfRule type="duplicateValues" dxfId="705" priority="662"/>
  </conditionalFormatting>
  <conditionalFormatting sqref="G8:G12">
    <cfRule type="duplicateValues" dxfId="704" priority="659"/>
    <cfRule type="duplicateValues" dxfId="703" priority="658"/>
    <cfRule type="duplicateValues" dxfId="702" priority="657"/>
    <cfRule type="duplicateValues" dxfId="701" priority="656"/>
    <cfRule type="duplicateValues" dxfId="700" priority="660"/>
  </conditionalFormatting>
  <conditionalFormatting sqref="G13">
    <cfRule type="duplicateValues" dxfId="699" priority="655"/>
    <cfRule type="duplicateValues" dxfId="698" priority="654"/>
    <cfRule type="duplicateValues" dxfId="697" priority="653"/>
    <cfRule type="duplicateValues" dxfId="696" priority="652"/>
    <cfRule type="duplicateValues" dxfId="695" priority="651"/>
  </conditionalFormatting>
  <conditionalFormatting sqref="G14:G16">
    <cfRule type="duplicateValues" dxfId="694" priority="646"/>
    <cfRule type="duplicateValues" dxfId="693" priority="647"/>
    <cfRule type="duplicateValues" dxfId="692" priority="648"/>
    <cfRule type="duplicateValues" dxfId="691" priority="649"/>
    <cfRule type="duplicateValues" dxfId="690" priority="650"/>
  </conditionalFormatting>
  <conditionalFormatting sqref="G17:G19">
    <cfRule type="duplicateValues" dxfId="689" priority="643"/>
    <cfRule type="duplicateValues" dxfId="688" priority="644"/>
    <cfRule type="duplicateValues" dxfId="687" priority="645"/>
    <cfRule type="duplicateValues" dxfId="686" priority="641"/>
    <cfRule type="duplicateValues" dxfId="685" priority="642"/>
  </conditionalFormatting>
  <conditionalFormatting sqref="G20">
    <cfRule type="duplicateValues" dxfId="684" priority="636"/>
    <cfRule type="duplicateValues" dxfId="683" priority="637"/>
    <cfRule type="duplicateValues" dxfId="682" priority="640"/>
    <cfRule type="duplicateValues" dxfId="681" priority="639"/>
    <cfRule type="duplicateValues" dxfId="680" priority="638"/>
  </conditionalFormatting>
  <conditionalFormatting sqref="G21">
    <cfRule type="duplicateValues" dxfId="679" priority="635"/>
    <cfRule type="duplicateValues" dxfId="678" priority="634"/>
    <cfRule type="duplicateValues" dxfId="677" priority="633"/>
    <cfRule type="duplicateValues" dxfId="676" priority="632"/>
    <cfRule type="duplicateValues" dxfId="675" priority="631"/>
  </conditionalFormatting>
  <conditionalFormatting sqref="G22">
    <cfRule type="duplicateValues" dxfId="674" priority="630"/>
    <cfRule type="duplicateValues" dxfId="673" priority="626"/>
    <cfRule type="duplicateValues" dxfId="672" priority="627"/>
    <cfRule type="duplicateValues" dxfId="671" priority="628"/>
    <cfRule type="duplicateValues" dxfId="670" priority="629"/>
  </conditionalFormatting>
  <conditionalFormatting sqref="G23:G26">
    <cfRule type="duplicateValues" dxfId="669" priority="621"/>
    <cfRule type="duplicateValues" dxfId="668" priority="622"/>
    <cfRule type="duplicateValues" dxfId="667" priority="623"/>
    <cfRule type="duplicateValues" dxfId="666" priority="625"/>
    <cfRule type="duplicateValues" dxfId="665" priority="624"/>
  </conditionalFormatting>
  <conditionalFormatting sqref="G27:G29">
    <cfRule type="duplicateValues" dxfId="664" priority="616"/>
    <cfRule type="duplicateValues" dxfId="663" priority="620"/>
    <cfRule type="duplicateValues" dxfId="662" priority="617"/>
    <cfRule type="duplicateValues" dxfId="661" priority="618"/>
    <cfRule type="duplicateValues" dxfId="660" priority="619"/>
  </conditionalFormatting>
  <conditionalFormatting sqref="G30">
    <cfRule type="duplicateValues" dxfId="659" priority="613"/>
    <cfRule type="duplicateValues" dxfId="658" priority="615"/>
    <cfRule type="duplicateValues" dxfId="657" priority="614"/>
    <cfRule type="duplicateValues" dxfId="656" priority="612"/>
    <cfRule type="duplicateValues" dxfId="655" priority="611"/>
  </conditionalFormatting>
  <conditionalFormatting sqref="G31">
    <cfRule type="duplicateValues" dxfId="654" priority="606"/>
    <cfRule type="duplicateValues" dxfId="653" priority="610"/>
    <cfRule type="duplicateValues" dxfId="652" priority="609"/>
    <cfRule type="duplicateValues" dxfId="651" priority="608"/>
    <cfRule type="duplicateValues" dxfId="650" priority="607"/>
  </conditionalFormatting>
  <conditionalFormatting sqref="G32:G38">
    <cfRule type="duplicateValues" dxfId="649" priority="603"/>
    <cfRule type="duplicateValues" dxfId="648" priority="605"/>
    <cfRule type="duplicateValues" dxfId="647" priority="602"/>
    <cfRule type="duplicateValues" dxfId="646" priority="601"/>
    <cfRule type="duplicateValues" dxfId="645" priority="604"/>
  </conditionalFormatting>
  <conditionalFormatting sqref="G39">
    <cfRule type="duplicateValues" dxfId="644" priority="597"/>
    <cfRule type="duplicateValues" dxfId="643" priority="600"/>
    <cfRule type="duplicateValues" dxfId="642" priority="599"/>
    <cfRule type="duplicateValues" dxfId="641" priority="598"/>
    <cfRule type="duplicateValues" dxfId="640" priority="596"/>
  </conditionalFormatting>
  <conditionalFormatting sqref="G40:G43">
    <cfRule type="duplicateValues" dxfId="639" priority="591"/>
    <cfRule type="duplicateValues" dxfId="638" priority="593"/>
    <cfRule type="duplicateValues" dxfId="637" priority="594"/>
    <cfRule type="duplicateValues" dxfId="636" priority="595"/>
    <cfRule type="duplicateValues" dxfId="635" priority="592"/>
  </conditionalFormatting>
  <conditionalFormatting sqref="G44:G46">
    <cfRule type="duplicateValues" dxfId="634" priority="587"/>
    <cfRule type="duplicateValues" dxfId="633" priority="588"/>
    <cfRule type="duplicateValues" dxfId="632" priority="589"/>
    <cfRule type="duplicateValues" dxfId="631" priority="590"/>
    <cfRule type="duplicateValues" dxfId="630" priority="586"/>
  </conditionalFormatting>
  <conditionalFormatting sqref="G47">
    <cfRule type="duplicateValues" dxfId="629" priority="585"/>
    <cfRule type="duplicateValues" dxfId="628" priority="584"/>
    <cfRule type="duplicateValues" dxfId="627" priority="583"/>
    <cfRule type="duplicateValues" dxfId="626" priority="582"/>
    <cfRule type="duplicateValues" dxfId="625" priority="581"/>
  </conditionalFormatting>
  <conditionalFormatting sqref="G48">
    <cfRule type="duplicateValues" dxfId="624" priority="577"/>
    <cfRule type="duplicateValues" dxfId="623" priority="580"/>
    <cfRule type="duplicateValues" dxfId="622" priority="579"/>
    <cfRule type="duplicateValues" dxfId="621" priority="578"/>
    <cfRule type="duplicateValues" dxfId="620" priority="576"/>
  </conditionalFormatting>
  <conditionalFormatting sqref="G49">
    <cfRule type="duplicateValues" dxfId="619" priority="575"/>
    <cfRule type="duplicateValues" dxfId="618" priority="574"/>
    <cfRule type="duplicateValues" dxfId="617" priority="573"/>
    <cfRule type="duplicateValues" dxfId="616" priority="572"/>
    <cfRule type="duplicateValues" dxfId="615" priority="571"/>
  </conditionalFormatting>
  <conditionalFormatting sqref="G50">
    <cfRule type="duplicateValues" dxfId="614" priority="566"/>
    <cfRule type="duplicateValues" dxfId="613" priority="570"/>
    <cfRule type="duplicateValues" dxfId="612" priority="569"/>
    <cfRule type="duplicateValues" dxfId="611" priority="568"/>
    <cfRule type="duplicateValues" dxfId="610" priority="567"/>
  </conditionalFormatting>
  <conditionalFormatting sqref="G51">
    <cfRule type="duplicateValues" dxfId="609" priority="556"/>
    <cfRule type="duplicateValues" dxfId="608" priority="557"/>
    <cfRule type="duplicateValues" dxfId="607" priority="558"/>
    <cfRule type="duplicateValues" dxfId="606" priority="559"/>
    <cfRule type="duplicateValues" dxfId="605" priority="560"/>
  </conditionalFormatting>
  <conditionalFormatting sqref="G52">
    <cfRule type="duplicateValues" dxfId="604" priority="561"/>
    <cfRule type="duplicateValues" dxfId="603" priority="562"/>
    <cfRule type="duplicateValues" dxfId="602" priority="563"/>
    <cfRule type="duplicateValues" dxfId="601" priority="564"/>
    <cfRule type="duplicateValues" dxfId="600" priority="565"/>
  </conditionalFormatting>
  <conditionalFormatting sqref="G53">
    <cfRule type="duplicateValues" dxfId="599" priority="551"/>
    <cfRule type="duplicateValues" dxfId="598" priority="552"/>
    <cfRule type="duplicateValues" dxfId="597" priority="553"/>
    <cfRule type="duplicateValues" dxfId="596" priority="555"/>
    <cfRule type="duplicateValues" dxfId="595" priority="554"/>
  </conditionalFormatting>
  <conditionalFormatting sqref="G54:G55">
    <cfRule type="duplicateValues" dxfId="594" priority="548"/>
    <cfRule type="duplicateValues" dxfId="593" priority="550"/>
    <cfRule type="duplicateValues" dxfId="592" priority="549"/>
    <cfRule type="duplicateValues" dxfId="591" priority="546"/>
    <cfRule type="duplicateValues" dxfId="590" priority="547"/>
  </conditionalFormatting>
  <conditionalFormatting sqref="G56">
    <cfRule type="duplicateValues" dxfId="589" priority="539"/>
    <cfRule type="duplicateValues" dxfId="588" priority="536"/>
    <cfRule type="duplicateValues" dxfId="587" priority="540"/>
    <cfRule type="duplicateValues" dxfId="586" priority="538"/>
    <cfRule type="duplicateValues" dxfId="585" priority="537"/>
  </conditionalFormatting>
  <conditionalFormatting sqref="G57">
    <cfRule type="duplicateValues" dxfId="584" priority="535"/>
    <cfRule type="duplicateValues" dxfId="583" priority="534"/>
    <cfRule type="duplicateValues" dxfId="582" priority="533"/>
    <cfRule type="duplicateValues" dxfId="581" priority="532"/>
    <cfRule type="duplicateValues" dxfId="580" priority="531"/>
  </conditionalFormatting>
  <conditionalFormatting sqref="G58">
    <cfRule type="duplicateValues" dxfId="579" priority="530"/>
    <cfRule type="duplicateValues" dxfId="578" priority="526"/>
    <cfRule type="duplicateValues" dxfId="577" priority="527"/>
    <cfRule type="duplicateValues" dxfId="576" priority="528"/>
    <cfRule type="duplicateValues" dxfId="575" priority="529"/>
  </conditionalFormatting>
  <conditionalFormatting sqref="G59">
    <cfRule type="duplicateValues" dxfId="574" priority="523"/>
    <cfRule type="duplicateValues" dxfId="573" priority="521"/>
    <cfRule type="duplicateValues" dxfId="572" priority="522"/>
    <cfRule type="duplicateValues" dxfId="571" priority="524"/>
    <cfRule type="duplicateValues" dxfId="570" priority="525"/>
  </conditionalFormatting>
  <conditionalFormatting sqref="G60">
    <cfRule type="duplicateValues" dxfId="569" priority="516"/>
    <cfRule type="duplicateValues" dxfId="568" priority="520"/>
    <cfRule type="duplicateValues" dxfId="567" priority="519"/>
    <cfRule type="duplicateValues" dxfId="566" priority="518"/>
    <cfRule type="duplicateValues" dxfId="565" priority="517"/>
  </conditionalFormatting>
  <conditionalFormatting sqref="G61">
    <cfRule type="duplicateValues" dxfId="564" priority="491"/>
    <cfRule type="duplicateValues" dxfId="563" priority="492"/>
    <cfRule type="duplicateValues" dxfId="562" priority="495"/>
    <cfRule type="duplicateValues" dxfId="561" priority="494"/>
    <cfRule type="duplicateValues" dxfId="560" priority="493"/>
  </conditionalFormatting>
  <conditionalFormatting sqref="G62">
    <cfRule type="duplicateValues" dxfId="559" priority="515"/>
    <cfRule type="duplicateValues" dxfId="558" priority="514"/>
    <cfRule type="duplicateValues" dxfId="557" priority="513"/>
    <cfRule type="duplicateValues" dxfId="556" priority="512"/>
    <cfRule type="duplicateValues" dxfId="555" priority="511"/>
  </conditionalFormatting>
  <conditionalFormatting sqref="G63">
    <cfRule type="duplicateValues" dxfId="554" priority="510"/>
    <cfRule type="duplicateValues" dxfId="553" priority="509"/>
    <cfRule type="duplicateValues" dxfId="552" priority="508"/>
    <cfRule type="duplicateValues" dxfId="551" priority="507"/>
    <cfRule type="duplicateValues" dxfId="550" priority="506"/>
  </conditionalFormatting>
  <conditionalFormatting sqref="G64">
    <cfRule type="duplicateValues" dxfId="549" priority="501"/>
    <cfRule type="duplicateValues" dxfId="548" priority="502"/>
    <cfRule type="duplicateValues" dxfId="547" priority="503"/>
    <cfRule type="duplicateValues" dxfId="546" priority="504"/>
    <cfRule type="duplicateValues" dxfId="545" priority="505"/>
  </conditionalFormatting>
  <conditionalFormatting sqref="G65">
    <cfRule type="duplicateValues" dxfId="544" priority="498"/>
    <cfRule type="duplicateValues" dxfId="543" priority="499"/>
    <cfRule type="duplicateValues" dxfId="542" priority="500"/>
    <cfRule type="duplicateValues" dxfId="541" priority="496"/>
    <cfRule type="duplicateValues" dxfId="540" priority="497"/>
  </conditionalFormatting>
  <conditionalFormatting sqref="G66">
    <cfRule type="duplicateValues" dxfId="539" priority="490"/>
    <cfRule type="duplicateValues" dxfId="538" priority="489"/>
    <cfRule type="duplicateValues" dxfId="537" priority="488"/>
    <cfRule type="duplicateValues" dxfId="536" priority="487"/>
    <cfRule type="duplicateValues" dxfId="535" priority="486"/>
  </conditionalFormatting>
  <conditionalFormatting sqref="G67">
    <cfRule type="duplicateValues" dxfId="534" priority="485"/>
    <cfRule type="duplicateValues" dxfId="533" priority="484"/>
    <cfRule type="duplicateValues" dxfId="532" priority="483"/>
    <cfRule type="duplicateValues" dxfId="531" priority="482"/>
    <cfRule type="duplicateValues" dxfId="530" priority="481"/>
  </conditionalFormatting>
  <conditionalFormatting sqref="G68">
    <cfRule type="duplicateValues" dxfId="529" priority="480"/>
    <cfRule type="duplicateValues" dxfId="528" priority="479"/>
    <cfRule type="duplicateValues" dxfId="527" priority="478"/>
    <cfRule type="duplicateValues" dxfId="526" priority="477"/>
    <cfRule type="duplicateValues" dxfId="525" priority="476"/>
  </conditionalFormatting>
  <conditionalFormatting sqref="G69">
    <cfRule type="duplicateValues" dxfId="524" priority="475"/>
    <cfRule type="duplicateValues" dxfId="523" priority="474"/>
    <cfRule type="duplicateValues" dxfId="522" priority="473"/>
    <cfRule type="duplicateValues" dxfId="521" priority="472"/>
    <cfRule type="duplicateValues" dxfId="520" priority="471"/>
  </conditionalFormatting>
  <conditionalFormatting sqref="G70">
    <cfRule type="duplicateValues" dxfId="519" priority="466"/>
    <cfRule type="duplicateValues" dxfId="518" priority="468"/>
    <cfRule type="duplicateValues" dxfId="517" priority="470"/>
    <cfRule type="duplicateValues" dxfId="516" priority="469"/>
    <cfRule type="duplicateValues" dxfId="515" priority="467"/>
  </conditionalFormatting>
  <conditionalFormatting sqref="G71">
    <cfRule type="duplicateValues" dxfId="514" priority="465"/>
    <cfRule type="duplicateValues" dxfId="513" priority="461"/>
    <cfRule type="duplicateValues" dxfId="512" priority="462"/>
    <cfRule type="duplicateValues" dxfId="511" priority="463"/>
    <cfRule type="duplicateValues" dxfId="510" priority="464"/>
  </conditionalFormatting>
  <conditionalFormatting sqref="G72">
    <cfRule type="duplicateValues" dxfId="509" priority="457"/>
    <cfRule type="duplicateValues" dxfId="508" priority="458"/>
    <cfRule type="duplicateValues" dxfId="507" priority="459"/>
    <cfRule type="duplicateValues" dxfId="506" priority="460"/>
    <cfRule type="duplicateValues" dxfId="505" priority="456"/>
  </conditionalFormatting>
  <conditionalFormatting sqref="G73">
    <cfRule type="duplicateValues" dxfId="504" priority="454"/>
    <cfRule type="duplicateValues" dxfId="503" priority="455"/>
    <cfRule type="duplicateValues" dxfId="502" priority="451"/>
    <cfRule type="duplicateValues" dxfId="501" priority="452"/>
    <cfRule type="duplicateValues" dxfId="500" priority="453"/>
  </conditionalFormatting>
  <conditionalFormatting sqref="G74">
    <cfRule type="duplicateValues" dxfId="499" priority="448"/>
    <cfRule type="duplicateValues" dxfId="498" priority="446"/>
    <cfRule type="duplicateValues" dxfId="497" priority="447"/>
    <cfRule type="duplicateValues" dxfId="496" priority="449"/>
    <cfRule type="duplicateValues" dxfId="495" priority="450"/>
  </conditionalFormatting>
  <conditionalFormatting sqref="G75">
    <cfRule type="duplicateValues" dxfId="494" priority="443"/>
    <cfRule type="duplicateValues" dxfId="493" priority="444"/>
    <cfRule type="duplicateValues" dxfId="492" priority="445"/>
    <cfRule type="duplicateValues" dxfId="491" priority="442"/>
    <cfRule type="duplicateValues" dxfId="490" priority="441"/>
  </conditionalFormatting>
  <conditionalFormatting sqref="G76">
    <cfRule type="duplicateValues" dxfId="489" priority="440"/>
    <cfRule type="duplicateValues" dxfId="488" priority="439"/>
    <cfRule type="duplicateValues" dxfId="487" priority="438"/>
    <cfRule type="duplicateValues" dxfId="486" priority="437"/>
    <cfRule type="duplicateValues" dxfId="485" priority="436"/>
  </conditionalFormatting>
  <conditionalFormatting sqref="G77">
    <cfRule type="duplicateValues" dxfId="484" priority="432"/>
    <cfRule type="duplicateValues" dxfId="483" priority="435"/>
    <cfRule type="duplicateValues" dxfId="482" priority="434"/>
    <cfRule type="duplicateValues" dxfId="481" priority="433"/>
    <cfRule type="duplicateValues" dxfId="480" priority="431"/>
  </conditionalFormatting>
  <conditionalFormatting sqref="G78">
    <cfRule type="duplicateValues" dxfId="479" priority="430"/>
    <cfRule type="duplicateValues" dxfId="478" priority="429"/>
    <cfRule type="duplicateValues" dxfId="477" priority="428"/>
    <cfRule type="duplicateValues" dxfId="476" priority="427"/>
    <cfRule type="duplicateValues" dxfId="475" priority="426"/>
  </conditionalFormatting>
  <conditionalFormatting sqref="G79">
    <cfRule type="duplicateValues" dxfId="474" priority="425"/>
    <cfRule type="duplicateValues" dxfId="473" priority="424"/>
    <cfRule type="duplicateValues" dxfId="472" priority="423"/>
    <cfRule type="duplicateValues" dxfId="471" priority="422"/>
    <cfRule type="duplicateValues" dxfId="470" priority="421"/>
  </conditionalFormatting>
  <conditionalFormatting sqref="G80">
    <cfRule type="duplicateValues" dxfId="469" priority="420"/>
    <cfRule type="duplicateValues" dxfId="468" priority="419"/>
    <cfRule type="duplicateValues" dxfId="467" priority="418"/>
    <cfRule type="duplicateValues" dxfId="466" priority="417"/>
    <cfRule type="duplicateValues" dxfId="465" priority="416"/>
  </conditionalFormatting>
  <conditionalFormatting sqref="G81">
    <cfRule type="duplicateValues" dxfId="464" priority="415"/>
    <cfRule type="duplicateValues" dxfId="463" priority="414"/>
    <cfRule type="duplicateValues" dxfId="462" priority="413"/>
    <cfRule type="duplicateValues" dxfId="461" priority="412"/>
    <cfRule type="duplicateValues" dxfId="460" priority="411"/>
  </conditionalFormatting>
  <conditionalFormatting sqref="G82">
    <cfRule type="duplicateValues" dxfId="459" priority="410"/>
    <cfRule type="duplicateValues" dxfId="458" priority="409"/>
    <cfRule type="duplicateValues" dxfId="457" priority="408"/>
    <cfRule type="duplicateValues" dxfId="456" priority="407"/>
    <cfRule type="duplicateValues" dxfId="455" priority="406"/>
  </conditionalFormatting>
  <conditionalFormatting sqref="G83">
    <cfRule type="duplicateValues" dxfId="454" priority="405"/>
    <cfRule type="duplicateValues" dxfId="453" priority="404"/>
    <cfRule type="duplicateValues" dxfId="452" priority="403"/>
    <cfRule type="duplicateValues" dxfId="451" priority="402"/>
    <cfRule type="duplicateValues" dxfId="450" priority="401"/>
  </conditionalFormatting>
  <conditionalFormatting sqref="G84">
    <cfRule type="duplicateValues" dxfId="449" priority="398"/>
    <cfRule type="duplicateValues" dxfId="448" priority="400"/>
    <cfRule type="duplicateValues" dxfId="447" priority="399"/>
    <cfRule type="duplicateValues" dxfId="446" priority="397"/>
    <cfRule type="duplicateValues" dxfId="445" priority="396"/>
  </conditionalFormatting>
  <conditionalFormatting sqref="G85">
    <cfRule type="duplicateValues" dxfId="444" priority="391"/>
    <cfRule type="duplicateValues" dxfId="443" priority="392"/>
    <cfRule type="duplicateValues" dxfId="442" priority="394"/>
    <cfRule type="duplicateValues" dxfId="441" priority="395"/>
    <cfRule type="duplicateValues" dxfId="440" priority="393"/>
  </conditionalFormatting>
  <conditionalFormatting sqref="G86">
    <cfRule type="duplicateValues" dxfId="439" priority="386"/>
    <cfRule type="duplicateValues" dxfId="438" priority="387"/>
    <cfRule type="duplicateValues" dxfId="437" priority="388"/>
    <cfRule type="duplicateValues" dxfId="436" priority="389"/>
    <cfRule type="duplicateValues" dxfId="435" priority="390"/>
  </conditionalFormatting>
  <conditionalFormatting sqref="G87">
    <cfRule type="duplicateValues" dxfId="434" priority="381"/>
    <cfRule type="duplicateValues" dxfId="433" priority="382"/>
    <cfRule type="duplicateValues" dxfId="432" priority="383"/>
    <cfRule type="duplicateValues" dxfId="431" priority="384"/>
    <cfRule type="duplicateValues" dxfId="430" priority="385"/>
  </conditionalFormatting>
  <conditionalFormatting sqref="G88">
    <cfRule type="duplicateValues" dxfId="429" priority="378"/>
    <cfRule type="duplicateValues" dxfId="428" priority="379"/>
    <cfRule type="duplicateValues" dxfId="427" priority="380"/>
    <cfRule type="duplicateValues" dxfId="426" priority="377"/>
    <cfRule type="duplicateValues" dxfId="425" priority="376"/>
  </conditionalFormatting>
  <conditionalFormatting sqref="G89">
    <cfRule type="duplicateValues" dxfId="424" priority="372"/>
    <cfRule type="duplicateValues" dxfId="423" priority="373"/>
    <cfRule type="duplicateValues" dxfId="422" priority="374"/>
    <cfRule type="duplicateValues" dxfId="421" priority="375"/>
    <cfRule type="duplicateValues" dxfId="420" priority="371"/>
  </conditionalFormatting>
  <conditionalFormatting sqref="G90">
    <cfRule type="duplicateValues" dxfId="419" priority="367"/>
    <cfRule type="duplicateValues" dxfId="418" priority="366"/>
    <cfRule type="duplicateValues" dxfId="417" priority="370"/>
    <cfRule type="duplicateValues" dxfId="416" priority="368"/>
    <cfRule type="duplicateValues" dxfId="415" priority="369"/>
  </conditionalFormatting>
  <conditionalFormatting sqref="G91">
    <cfRule type="duplicateValues" dxfId="414" priority="363"/>
    <cfRule type="duplicateValues" dxfId="413" priority="365"/>
    <cfRule type="duplicateValues" dxfId="412" priority="364"/>
    <cfRule type="duplicateValues" dxfId="411" priority="362"/>
    <cfRule type="duplicateValues" dxfId="410" priority="361"/>
  </conditionalFormatting>
  <conditionalFormatting sqref="G92">
    <cfRule type="duplicateValues" dxfId="409" priority="360"/>
    <cfRule type="duplicateValues" dxfId="408" priority="359"/>
    <cfRule type="duplicateValues" dxfId="407" priority="358"/>
    <cfRule type="duplicateValues" dxfId="406" priority="357"/>
    <cfRule type="duplicateValues" dxfId="405" priority="356"/>
  </conditionalFormatting>
  <conditionalFormatting sqref="G93">
    <cfRule type="duplicateValues" dxfId="404" priority="355"/>
    <cfRule type="duplicateValues" dxfId="403" priority="354"/>
    <cfRule type="duplicateValues" dxfId="402" priority="353"/>
    <cfRule type="duplicateValues" dxfId="401" priority="351"/>
    <cfRule type="duplicateValues" dxfId="400" priority="352"/>
  </conditionalFormatting>
  <conditionalFormatting sqref="G94">
    <cfRule type="duplicateValues" dxfId="399" priority="346"/>
    <cfRule type="duplicateValues" dxfId="398" priority="347"/>
    <cfRule type="duplicateValues" dxfId="397" priority="348"/>
    <cfRule type="duplicateValues" dxfId="396" priority="349"/>
    <cfRule type="duplicateValues" dxfId="395" priority="350"/>
  </conditionalFormatting>
  <conditionalFormatting sqref="G95">
    <cfRule type="duplicateValues" dxfId="394" priority="345"/>
    <cfRule type="duplicateValues" dxfId="393" priority="344"/>
    <cfRule type="duplicateValues" dxfId="392" priority="343"/>
    <cfRule type="duplicateValues" dxfId="391" priority="342"/>
    <cfRule type="duplicateValues" dxfId="390" priority="341"/>
  </conditionalFormatting>
  <conditionalFormatting sqref="G96">
    <cfRule type="duplicateValues" dxfId="389" priority="336"/>
    <cfRule type="duplicateValues" dxfId="388" priority="337"/>
    <cfRule type="duplicateValues" dxfId="387" priority="338"/>
    <cfRule type="duplicateValues" dxfId="386" priority="340"/>
    <cfRule type="duplicateValues" dxfId="385" priority="339"/>
  </conditionalFormatting>
  <conditionalFormatting sqref="G97">
    <cfRule type="duplicateValues" dxfId="384" priority="333"/>
    <cfRule type="duplicateValues" dxfId="383" priority="331"/>
    <cfRule type="duplicateValues" dxfId="382" priority="332"/>
    <cfRule type="duplicateValues" dxfId="381" priority="334"/>
    <cfRule type="duplicateValues" dxfId="380" priority="335"/>
  </conditionalFormatting>
  <conditionalFormatting sqref="G98">
    <cfRule type="duplicateValues" dxfId="379" priority="328"/>
    <cfRule type="duplicateValues" dxfId="378" priority="326"/>
    <cfRule type="duplicateValues" dxfId="377" priority="327"/>
    <cfRule type="duplicateValues" dxfId="376" priority="329"/>
    <cfRule type="duplicateValues" dxfId="375" priority="330"/>
  </conditionalFormatting>
  <conditionalFormatting sqref="G99">
    <cfRule type="duplicateValues" dxfId="374" priority="321"/>
    <cfRule type="duplicateValues" dxfId="373" priority="322"/>
    <cfRule type="duplicateValues" dxfId="372" priority="323"/>
    <cfRule type="duplicateValues" dxfId="371" priority="324"/>
    <cfRule type="duplicateValues" dxfId="370" priority="325"/>
  </conditionalFormatting>
  <conditionalFormatting sqref="G100">
    <cfRule type="duplicateValues" dxfId="369" priority="316"/>
    <cfRule type="duplicateValues" dxfId="368" priority="317"/>
    <cfRule type="duplicateValues" dxfId="367" priority="319"/>
    <cfRule type="duplicateValues" dxfId="366" priority="320"/>
    <cfRule type="duplicateValues" dxfId="365" priority="318"/>
  </conditionalFormatting>
  <conditionalFormatting sqref="G101">
    <cfRule type="duplicateValues" dxfId="364" priority="311"/>
    <cfRule type="duplicateValues" dxfId="363" priority="315"/>
    <cfRule type="duplicateValues" dxfId="362" priority="314"/>
    <cfRule type="duplicateValues" dxfId="361" priority="313"/>
    <cfRule type="duplicateValues" dxfId="360" priority="312"/>
  </conditionalFormatting>
  <conditionalFormatting sqref="G102">
    <cfRule type="duplicateValues" dxfId="359" priority="306"/>
    <cfRule type="duplicateValues" dxfId="358" priority="307"/>
    <cfRule type="duplicateValues" dxfId="357" priority="308"/>
    <cfRule type="duplicateValues" dxfId="356" priority="309"/>
    <cfRule type="duplicateValues" dxfId="355" priority="310"/>
  </conditionalFormatting>
  <conditionalFormatting sqref="G103">
    <cfRule type="duplicateValues" dxfId="354" priority="301"/>
    <cfRule type="duplicateValues" dxfId="353" priority="302"/>
    <cfRule type="duplicateValues" dxfId="352" priority="303"/>
    <cfRule type="duplicateValues" dxfId="351" priority="305"/>
    <cfRule type="duplicateValues" dxfId="350" priority="304"/>
  </conditionalFormatting>
  <conditionalFormatting sqref="G104:G105">
    <cfRule type="duplicateValues" dxfId="349" priority="296"/>
    <cfRule type="duplicateValues" dxfId="348" priority="297"/>
    <cfRule type="duplicateValues" dxfId="347" priority="298"/>
    <cfRule type="duplicateValues" dxfId="346" priority="299"/>
    <cfRule type="duplicateValues" dxfId="345" priority="300"/>
  </conditionalFormatting>
  <conditionalFormatting sqref="G106">
    <cfRule type="duplicateValues" dxfId="344" priority="293"/>
    <cfRule type="duplicateValues" dxfId="343" priority="294"/>
    <cfRule type="duplicateValues" dxfId="342" priority="295"/>
    <cfRule type="duplicateValues" dxfId="341" priority="291"/>
    <cfRule type="duplicateValues" dxfId="340" priority="292"/>
  </conditionalFormatting>
  <conditionalFormatting sqref="G107">
    <cfRule type="duplicateValues" dxfId="339" priority="289"/>
    <cfRule type="duplicateValues" dxfId="338" priority="287"/>
    <cfRule type="duplicateValues" dxfId="337" priority="288"/>
    <cfRule type="duplicateValues" dxfId="336" priority="290"/>
    <cfRule type="duplicateValues" dxfId="335" priority="286"/>
  </conditionalFormatting>
  <conditionalFormatting sqref="G108">
    <cfRule type="duplicateValues" dxfId="334" priority="285"/>
    <cfRule type="duplicateValues" dxfId="333" priority="284"/>
    <cfRule type="duplicateValues" dxfId="332" priority="283"/>
    <cfRule type="duplicateValues" dxfId="331" priority="282"/>
    <cfRule type="duplicateValues" dxfId="330" priority="281"/>
  </conditionalFormatting>
  <conditionalFormatting sqref="G109">
    <cfRule type="duplicateValues" dxfId="329" priority="279"/>
    <cfRule type="duplicateValues" dxfId="328" priority="280"/>
    <cfRule type="duplicateValues" dxfId="327" priority="277"/>
    <cfRule type="duplicateValues" dxfId="326" priority="278"/>
    <cfRule type="duplicateValues" dxfId="325" priority="276"/>
  </conditionalFormatting>
  <conditionalFormatting sqref="G110">
    <cfRule type="duplicateValues" dxfId="324" priority="271"/>
    <cfRule type="duplicateValues" dxfId="323" priority="272"/>
    <cfRule type="duplicateValues" dxfId="322" priority="273"/>
    <cfRule type="duplicateValues" dxfId="321" priority="275"/>
    <cfRule type="duplicateValues" dxfId="320" priority="274"/>
  </conditionalFormatting>
  <conditionalFormatting sqref="G111">
    <cfRule type="duplicateValues" dxfId="319" priority="266"/>
    <cfRule type="duplicateValues" dxfId="318" priority="267"/>
    <cfRule type="duplicateValues" dxfId="317" priority="268"/>
    <cfRule type="duplicateValues" dxfId="316" priority="269"/>
    <cfRule type="duplicateValues" dxfId="315" priority="270"/>
  </conditionalFormatting>
  <conditionalFormatting sqref="G112">
    <cfRule type="duplicateValues" dxfId="314" priority="262"/>
    <cfRule type="duplicateValues" dxfId="313" priority="263"/>
    <cfRule type="duplicateValues" dxfId="312" priority="264"/>
    <cfRule type="duplicateValues" dxfId="311" priority="265"/>
    <cfRule type="duplicateValues" dxfId="310" priority="261"/>
  </conditionalFormatting>
  <conditionalFormatting sqref="G113">
    <cfRule type="duplicateValues" dxfId="309" priority="260"/>
    <cfRule type="duplicateValues" dxfId="308" priority="259"/>
    <cfRule type="duplicateValues" dxfId="307" priority="258"/>
    <cfRule type="duplicateValues" dxfId="306" priority="257"/>
    <cfRule type="duplicateValues" dxfId="305" priority="256"/>
  </conditionalFormatting>
  <conditionalFormatting sqref="G114">
    <cfRule type="duplicateValues" dxfId="304" priority="253"/>
    <cfRule type="duplicateValues" dxfId="303" priority="251"/>
    <cfRule type="duplicateValues" dxfId="302" priority="252"/>
    <cfRule type="duplicateValues" dxfId="301" priority="255"/>
    <cfRule type="duplicateValues" dxfId="300" priority="254"/>
  </conditionalFormatting>
  <conditionalFormatting sqref="G115">
    <cfRule type="duplicateValues" dxfId="299" priority="246"/>
    <cfRule type="duplicateValues" dxfId="298" priority="247"/>
    <cfRule type="duplicateValues" dxfId="297" priority="248"/>
    <cfRule type="duplicateValues" dxfId="296" priority="249"/>
    <cfRule type="duplicateValues" dxfId="295" priority="250"/>
  </conditionalFormatting>
  <conditionalFormatting sqref="G116">
    <cfRule type="duplicateValues" dxfId="294" priority="244"/>
    <cfRule type="duplicateValues" dxfId="293" priority="245"/>
    <cfRule type="duplicateValues" dxfId="292" priority="243"/>
    <cfRule type="duplicateValues" dxfId="291" priority="241"/>
    <cfRule type="duplicateValues" dxfId="290" priority="242"/>
  </conditionalFormatting>
  <conditionalFormatting sqref="G117">
    <cfRule type="duplicateValues" dxfId="289" priority="236"/>
    <cfRule type="duplicateValues" dxfId="288" priority="240"/>
    <cfRule type="duplicateValues" dxfId="287" priority="239"/>
    <cfRule type="duplicateValues" dxfId="286" priority="238"/>
    <cfRule type="duplicateValues" dxfId="285" priority="237"/>
  </conditionalFormatting>
  <conditionalFormatting sqref="G118">
    <cfRule type="duplicateValues" dxfId="284" priority="233"/>
    <cfRule type="duplicateValues" dxfId="283" priority="232"/>
    <cfRule type="duplicateValues" dxfId="282" priority="231"/>
    <cfRule type="duplicateValues" dxfId="281" priority="235"/>
    <cfRule type="duplicateValues" dxfId="280" priority="234"/>
  </conditionalFormatting>
  <conditionalFormatting sqref="G119">
    <cfRule type="duplicateValues" dxfId="279" priority="230"/>
    <cfRule type="duplicateValues" dxfId="278" priority="229"/>
    <cfRule type="duplicateValues" dxfId="277" priority="228"/>
    <cfRule type="duplicateValues" dxfId="276" priority="227"/>
    <cfRule type="duplicateValues" dxfId="275" priority="226"/>
  </conditionalFormatting>
  <conditionalFormatting sqref="G120">
    <cfRule type="duplicateValues" dxfId="274" priority="225"/>
    <cfRule type="duplicateValues" dxfId="273" priority="224"/>
    <cfRule type="duplicateValues" dxfId="272" priority="223"/>
    <cfRule type="duplicateValues" dxfId="271" priority="222"/>
    <cfRule type="duplicateValues" dxfId="270" priority="221"/>
  </conditionalFormatting>
  <conditionalFormatting sqref="G121:G122">
    <cfRule type="duplicateValues" dxfId="269" priority="220"/>
    <cfRule type="duplicateValues" dxfId="268" priority="219"/>
    <cfRule type="duplicateValues" dxfId="267" priority="218"/>
    <cfRule type="duplicateValues" dxfId="266" priority="217"/>
    <cfRule type="duplicateValues" dxfId="265" priority="216"/>
  </conditionalFormatting>
  <conditionalFormatting sqref="G123">
    <cfRule type="duplicateValues" dxfId="264" priority="214"/>
    <cfRule type="duplicateValues" dxfId="263" priority="215"/>
    <cfRule type="duplicateValues" dxfId="262" priority="213"/>
    <cfRule type="duplicateValues" dxfId="261" priority="212"/>
    <cfRule type="duplicateValues" dxfId="260" priority="211"/>
  </conditionalFormatting>
  <conditionalFormatting sqref="G124:G125">
    <cfRule type="duplicateValues" dxfId="259" priority="210"/>
    <cfRule type="duplicateValues" dxfId="258" priority="209"/>
    <cfRule type="duplicateValues" dxfId="257" priority="208"/>
    <cfRule type="duplicateValues" dxfId="256" priority="207"/>
    <cfRule type="duplicateValues" dxfId="255" priority="206"/>
  </conditionalFormatting>
  <conditionalFormatting sqref="G126 G130:G134 G140 G138 G144:G145 G147:G151 G153:G158">
    <cfRule type="duplicateValues" dxfId="254" priority="690"/>
    <cfRule type="duplicateValues" dxfId="253" priority="687"/>
    <cfRule type="duplicateValues" dxfId="252" priority="688"/>
    <cfRule type="duplicateValues" dxfId="251" priority="686"/>
    <cfRule type="duplicateValues" dxfId="250" priority="689"/>
  </conditionalFormatting>
  <conditionalFormatting sqref="G127">
    <cfRule type="duplicateValues" dxfId="249" priority="196"/>
    <cfRule type="duplicateValues" dxfId="248" priority="197"/>
    <cfRule type="duplicateValues" dxfId="247" priority="198"/>
    <cfRule type="duplicateValues" dxfId="246" priority="199"/>
    <cfRule type="duplicateValues" dxfId="245" priority="200"/>
  </conditionalFormatting>
  <conditionalFormatting sqref="G129">
    <cfRule type="duplicateValues" dxfId="244" priority="193"/>
    <cfRule type="duplicateValues" dxfId="243" priority="194"/>
    <cfRule type="duplicateValues" dxfId="242" priority="195"/>
    <cfRule type="duplicateValues" dxfId="241" priority="191"/>
    <cfRule type="duplicateValues" dxfId="240" priority="192"/>
  </conditionalFormatting>
  <conditionalFormatting sqref="G135">
    <cfRule type="duplicateValues" dxfId="239" priority="185"/>
    <cfRule type="duplicateValues" dxfId="238" priority="181"/>
    <cfRule type="duplicateValues" dxfId="237" priority="184"/>
    <cfRule type="duplicateValues" dxfId="236" priority="183"/>
    <cfRule type="duplicateValues" dxfId="235" priority="182"/>
  </conditionalFormatting>
  <conditionalFormatting sqref="G139 G143">
    <cfRule type="duplicateValues" dxfId="234" priority="682"/>
    <cfRule type="duplicateValues" dxfId="233" priority="683"/>
    <cfRule type="duplicateValues" dxfId="232" priority="684"/>
    <cfRule type="duplicateValues" dxfId="231" priority="685"/>
    <cfRule type="duplicateValues" dxfId="230" priority="681"/>
  </conditionalFormatting>
  <conditionalFormatting sqref="G141:G142">
    <cfRule type="duplicateValues" dxfId="229" priority="205"/>
    <cfRule type="duplicateValues" dxfId="228" priority="204"/>
    <cfRule type="duplicateValues" dxfId="227" priority="203"/>
    <cfRule type="duplicateValues" dxfId="226" priority="202"/>
    <cfRule type="duplicateValues" dxfId="225" priority="201"/>
  </conditionalFormatting>
  <conditionalFormatting sqref="G146">
    <cfRule type="duplicateValues" dxfId="224" priority="190"/>
    <cfRule type="duplicateValues" dxfId="223" priority="189"/>
    <cfRule type="duplicateValues" dxfId="222" priority="188"/>
    <cfRule type="duplicateValues" dxfId="221" priority="187"/>
    <cfRule type="duplicateValues" dxfId="220" priority="186"/>
  </conditionalFormatting>
  <conditionalFormatting sqref="G152 G136:G137 G128">
    <cfRule type="duplicateValues" dxfId="219" priority="676"/>
    <cfRule type="duplicateValues" dxfId="218" priority="680"/>
    <cfRule type="duplicateValues" dxfId="217" priority="679"/>
    <cfRule type="duplicateValues" dxfId="216" priority="678"/>
    <cfRule type="duplicateValues" dxfId="215" priority="677"/>
  </conditionalFormatting>
  <conditionalFormatting sqref="G159">
    <cfRule type="duplicateValues" dxfId="214" priority="542"/>
    <cfRule type="duplicateValues" dxfId="213" priority="543"/>
    <cfRule type="duplicateValues" dxfId="212" priority="545"/>
    <cfRule type="duplicateValues" dxfId="211" priority="544"/>
    <cfRule type="duplicateValues" dxfId="210" priority="541"/>
  </conditionalFormatting>
  <conditionalFormatting sqref="G160">
    <cfRule type="duplicateValues" dxfId="209" priority="180"/>
    <cfRule type="duplicateValues" dxfId="208" priority="179"/>
    <cfRule type="duplicateValues" dxfId="207" priority="178"/>
    <cfRule type="duplicateValues" dxfId="206" priority="177"/>
    <cfRule type="duplicateValues" dxfId="205" priority="176"/>
  </conditionalFormatting>
  <conditionalFormatting sqref="G161">
    <cfRule type="duplicateValues" dxfId="204" priority="172"/>
    <cfRule type="duplicateValues" dxfId="203" priority="173"/>
    <cfRule type="duplicateValues" dxfId="202" priority="175"/>
    <cfRule type="duplicateValues" dxfId="201" priority="174"/>
    <cfRule type="duplicateValues" dxfId="200" priority="171"/>
  </conditionalFormatting>
  <conditionalFormatting sqref="G162">
    <cfRule type="duplicateValues" dxfId="199" priority="170"/>
    <cfRule type="duplicateValues" dxfId="198" priority="169"/>
    <cfRule type="duplicateValues" dxfId="197" priority="168"/>
    <cfRule type="duplicateValues" dxfId="196" priority="167"/>
    <cfRule type="duplicateValues" dxfId="195" priority="166"/>
  </conditionalFormatting>
  <conditionalFormatting sqref="G163">
    <cfRule type="duplicateValues" dxfId="194" priority="163"/>
    <cfRule type="duplicateValues" dxfId="193" priority="165"/>
    <cfRule type="duplicateValues" dxfId="192" priority="164"/>
    <cfRule type="duplicateValues" dxfId="191" priority="162"/>
    <cfRule type="duplicateValues" dxfId="190" priority="161"/>
  </conditionalFormatting>
  <conditionalFormatting sqref="G164">
    <cfRule type="duplicateValues" dxfId="189" priority="159"/>
    <cfRule type="duplicateValues" dxfId="188" priority="156"/>
    <cfRule type="duplicateValues" dxfId="187" priority="157"/>
    <cfRule type="duplicateValues" dxfId="186" priority="160"/>
    <cfRule type="duplicateValues" dxfId="185" priority="158"/>
  </conditionalFormatting>
  <conditionalFormatting sqref="G165">
    <cfRule type="duplicateValues" dxfId="184" priority="151"/>
    <cfRule type="duplicateValues" dxfId="183" priority="155"/>
    <cfRule type="duplicateValues" dxfId="182" priority="153"/>
    <cfRule type="duplicateValues" dxfId="181" priority="152"/>
    <cfRule type="duplicateValues" dxfId="180" priority="154"/>
  </conditionalFormatting>
  <conditionalFormatting sqref="G166">
    <cfRule type="duplicateValues" dxfId="179" priority="150"/>
    <cfRule type="duplicateValues" dxfId="178" priority="149"/>
    <cfRule type="duplicateValues" dxfId="177" priority="148"/>
    <cfRule type="duplicateValues" dxfId="176" priority="147"/>
    <cfRule type="duplicateValues" dxfId="175" priority="146"/>
  </conditionalFormatting>
  <conditionalFormatting sqref="G167">
    <cfRule type="duplicateValues" dxfId="174" priority="143"/>
    <cfRule type="duplicateValues" dxfId="173" priority="141"/>
    <cfRule type="duplicateValues" dxfId="172" priority="142"/>
    <cfRule type="duplicateValues" dxfId="171" priority="145"/>
    <cfRule type="duplicateValues" dxfId="170" priority="144"/>
  </conditionalFormatting>
  <conditionalFormatting sqref="G168">
    <cfRule type="duplicateValues" dxfId="169" priority="136"/>
    <cfRule type="duplicateValues" dxfId="168" priority="137"/>
    <cfRule type="duplicateValues" dxfId="167" priority="138"/>
    <cfRule type="duplicateValues" dxfId="166" priority="139"/>
    <cfRule type="duplicateValues" dxfId="165" priority="140"/>
  </conditionalFormatting>
  <conditionalFormatting sqref="G169">
    <cfRule type="duplicateValues" dxfId="164" priority="134"/>
    <cfRule type="duplicateValues" dxfId="163" priority="135"/>
    <cfRule type="duplicateValues" dxfId="162" priority="133"/>
    <cfRule type="duplicateValues" dxfId="161" priority="132"/>
    <cfRule type="duplicateValues" dxfId="160" priority="131"/>
  </conditionalFormatting>
  <conditionalFormatting sqref="G170">
    <cfRule type="duplicateValues" dxfId="159" priority="130"/>
    <cfRule type="duplicateValues" dxfId="158" priority="129"/>
    <cfRule type="duplicateValues" dxfId="157" priority="128"/>
    <cfRule type="duplicateValues" dxfId="156" priority="127"/>
    <cfRule type="duplicateValues" dxfId="155" priority="126"/>
  </conditionalFormatting>
  <conditionalFormatting sqref="G171:G172">
    <cfRule type="duplicateValues" dxfId="154" priority="122"/>
    <cfRule type="duplicateValues" dxfId="153" priority="125"/>
    <cfRule type="duplicateValues" dxfId="152" priority="124"/>
    <cfRule type="duplicateValues" dxfId="151" priority="123"/>
    <cfRule type="duplicateValues" dxfId="150" priority="121"/>
  </conditionalFormatting>
  <conditionalFormatting sqref="G173">
    <cfRule type="duplicateValues" dxfId="149" priority="120"/>
    <cfRule type="duplicateValues" dxfId="148" priority="119"/>
    <cfRule type="duplicateValues" dxfId="147" priority="118"/>
    <cfRule type="duplicateValues" dxfId="146" priority="117"/>
    <cfRule type="duplicateValues" dxfId="145" priority="116"/>
  </conditionalFormatting>
  <conditionalFormatting sqref="G174">
    <cfRule type="duplicateValues" dxfId="144" priority="111"/>
    <cfRule type="duplicateValues" dxfId="143" priority="112"/>
    <cfRule type="duplicateValues" dxfId="142" priority="113"/>
    <cfRule type="duplicateValues" dxfId="141" priority="114"/>
    <cfRule type="duplicateValues" dxfId="140" priority="115"/>
  </conditionalFormatting>
  <conditionalFormatting sqref="G175">
    <cfRule type="duplicateValues" dxfId="139" priority="108"/>
    <cfRule type="duplicateValues" dxfId="138" priority="110"/>
    <cfRule type="duplicateValues" dxfId="137" priority="109"/>
    <cfRule type="duplicateValues" dxfId="136" priority="106"/>
    <cfRule type="duplicateValues" dxfId="135" priority="107"/>
  </conditionalFormatting>
  <conditionalFormatting sqref="G176">
    <cfRule type="duplicateValues" dxfId="134" priority="105"/>
    <cfRule type="duplicateValues" dxfId="133" priority="104"/>
    <cfRule type="duplicateValues" dxfId="132" priority="103"/>
    <cfRule type="duplicateValues" dxfId="131" priority="102"/>
    <cfRule type="duplicateValues" dxfId="130" priority="101"/>
  </conditionalFormatting>
  <conditionalFormatting sqref="G177">
    <cfRule type="duplicateValues" dxfId="129" priority="98"/>
    <cfRule type="duplicateValues" dxfId="128" priority="96"/>
    <cfRule type="duplicateValues" dxfId="127" priority="100"/>
    <cfRule type="duplicateValues" dxfId="126" priority="99"/>
    <cfRule type="duplicateValues" dxfId="125" priority="97"/>
  </conditionalFormatting>
  <conditionalFormatting sqref="G178">
    <cfRule type="duplicateValues" dxfId="124" priority="91"/>
    <cfRule type="duplicateValues" dxfId="123" priority="95"/>
    <cfRule type="duplicateValues" dxfId="122" priority="94"/>
    <cfRule type="duplicateValues" dxfId="121" priority="93"/>
    <cfRule type="duplicateValues" dxfId="120" priority="92"/>
  </conditionalFormatting>
  <conditionalFormatting sqref="G179">
    <cfRule type="duplicateValues" dxfId="119" priority="86"/>
    <cfRule type="duplicateValues" dxfId="118" priority="87"/>
    <cfRule type="duplicateValues" dxfId="117" priority="90"/>
    <cfRule type="duplicateValues" dxfId="116" priority="89"/>
    <cfRule type="duplicateValues" dxfId="115" priority="88"/>
  </conditionalFormatting>
  <conditionalFormatting sqref="G180">
    <cfRule type="duplicateValues" dxfId="114" priority="85"/>
    <cfRule type="duplicateValues" dxfId="113" priority="84"/>
    <cfRule type="duplicateValues" dxfId="112" priority="83"/>
    <cfRule type="duplicateValues" dxfId="111" priority="82"/>
    <cfRule type="duplicateValues" dxfId="110" priority="81"/>
  </conditionalFormatting>
  <conditionalFormatting sqref="G181">
    <cfRule type="duplicateValues" dxfId="109" priority="80"/>
    <cfRule type="duplicateValues" dxfId="108" priority="79"/>
    <cfRule type="duplicateValues" dxfId="107" priority="78"/>
    <cfRule type="duplicateValues" dxfId="106" priority="77"/>
    <cfRule type="duplicateValues" dxfId="105" priority="76"/>
  </conditionalFormatting>
  <conditionalFormatting sqref="G182">
    <cfRule type="duplicateValues" dxfId="104" priority="75"/>
    <cfRule type="duplicateValues" dxfId="103" priority="74"/>
    <cfRule type="duplicateValues" dxfId="102" priority="73"/>
    <cfRule type="duplicateValues" dxfId="101" priority="72"/>
    <cfRule type="duplicateValues" dxfId="100" priority="71"/>
  </conditionalFormatting>
  <conditionalFormatting sqref="G183">
    <cfRule type="duplicateValues" dxfId="99" priority="70"/>
    <cfRule type="duplicateValues" dxfId="98" priority="69"/>
    <cfRule type="duplicateValues" dxfId="97" priority="68"/>
    <cfRule type="duplicateValues" dxfId="96" priority="67"/>
    <cfRule type="duplicateValues" dxfId="95" priority="66"/>
  </conditionalFormatting>
  <conditionalFormatting sqref="G184">
    <cfRule type="duplicateValues" dxfId="94" priority="65"/>
    <cfRule type="duplicateValues" dxfId="93" priority="64"/>
    <cfRule type="duplicateValues" dxfId="92" priority="63"/>
    <cfRule type="duplicateValues" dxfId="91" priority="62"/>
    <cfRule type="duplicateValues" dxfId="90" priority="61"/>
  </conditionalFormatting>
  <conditionalFormatting sqref="G185">
    <cfRule type="duplicateValues" dxfId="89" priority="60"/>
    <cfRule type="duplicateValues" dxfId="88" priority="59"/>
    <cfRule type="duplicateValues" dxfId="87" priority="58"/>
    <cfRule type="duplicateValues" dxfId="86" priority="57"/>
    <cfRule type="duplicateValues" dxfId="85" priority="56"/>
  </conditionalFormatting>
  <conditionalFormatting sqref="G186">
    <cfRule type="duplicateValues" dxfId="84" priority="53"/>
    <cfRule type="duplicateValues" dxfId="83" priority="55"/>
    <cfRule type="duplicateValues" dxfId="82" priority="54"/>
    <cfRule type="duplicateValues" dxfId="81" priority="52"/>
    <cfRule type="duplicateValues" dxfId="80" priority="51"/>
  </conditionalFormatting>
  <conditionalFormatting sqref="G187">
    <cfRule type="duplicateValues" dxfId="79" priority="50"/>
    <cfRule type="duplicateValues" dxfId="78" priority="49"/>
    <cfRule type="duplicateValues" dxfId="77" priority="48"/>
    <cfRule type="duplicateValues" dxfId="76" priority="47"/>
    <cfRule type="duplicateValues" dxfId="75" priority="46"/>
  </conditionalFormatting>
  <conditionalFormatting sqref="G188">
    <cfRule type="duplicateValues" dxfId="74" priority="45"/>
    <cfRule type="duplicateValues" dxfId="73" priority="44"/>
    <cfRule type="duplicateValues" dxfId="72" priority="43"/>
    <cfRule type="duplicateValues" dxfId="71" priority="42"/>
    <cfRule type="duplicateValues" dxfId="70" priority="41"/>
  </conditionalFormatting>
  <conditionalFormatting sqref="G189">
    <cfRule type="duplicateValues" dxfId="69" priority="38"/>
    <cfRule type="duplicateValues" dxfId="68" priority="39"/>
    <cfRule type="duplicateValues" dxfId="67" priority="36"/>
    <cfRule type="duplicateValues" dxfId="66" priority="37"/>
    <cfRule type="duplicateValues" dxfId="65" priority="40"/>
  </conditionalFormatting>
  <conditionalFormatting sqref="G190">
    <cfRule type="duplicateValues" dxfId="64" priority="31"/>
    <cfRule type="duplicateValues" dxfId="63" priority="32"/>
    <cfRule type="duplicateValues" dxfId="62" priority="33"/>
    <cfRule type="duplicateValues" dxfId="61" priority="35"/>
    <cfRule type="duplicateValues" dxfId="60" priority="34"/>
  </conditionalFormatting>
  <conditionalFormatting sqref="G191">
    <cfRule type="duplicateValues" dxfId="59" priority="29"/>
    <cfRule type="duplicateValues" dxfId="58" priority="30"/>
    <cfRule type="duplicateValues" dxfId="57" priority="28"/>
    <cfRule type="duplicateValues" dxfId="56" priority="27"/>
    <cfRule type="duplicateValues" dxfId="55" priority="26"/>
  </conditionalFormatting>
  <conditionalFormatting sqref="G192">
    <cfRule type="duplicateValues" dxfId="54" priority="22"/>
    <cfRule type="duplicateValues" dxfId="53" priority="21"/>
    <cfRule type="duplicateValues" dxfId="52" priority="25"/>
    <cfRule type="duplicateValues" dxfId="51" priority="23"/>
    <cfRule type="duplicateValues" dxfId="50" priority="24"/>
  </conditionalFormatting>
  <conditionalFormatting sqref="G193">
    <cfRule type="duplicateValues" dxfId="49" priority="20"/>
    <cfRule type="duplicateValues" dxfId="48" priority="19"/>
    <cfRule type="duplicateValues" dxfId="47" priority="18"/>
    <cfRule type="duplicateValues" dxfId="46" priority="16"/>
    <cfRule type="duplicateValues" dxfId="45" priority="17"/>
  </conditionalFormatting>
  <conditionalFormatting sqref="G194">
    <cfRule type="duplicateValues" dxfId="44" priority="11"/>
    <cfRule type="duplicateValues" dxfId="43" priority="15"/>
    <cfRule type="duplicateValues" dxfId="42" priority="14"/>
    <cfRule type="duplicateValues" dxfId="41" priority="13"/>
    <cfRule type="duplicateValues" dxfId="40" priority="12"/>
  </conditionalFormatting>
  <conditionalFormatting sqref="G195">
    <cfRule type="duplicateValues" dxfId="39" priority="6"/>
    <cfRule type="duplicateValues" dxfId="38" priority="9"/>
    <cfRule type="duplicateValues" dxfId="37" priority="8"/>
    <cfRule type="duplicateValues" dxfId="36" priority="7"/>
    <cfRule type="duplicateValues" dxfId="35" priority="10"/>
  </conditionalFormatting>
  <conditionalFormatting sqref="G196">
    <cfRule type="duplicateValues" dxfId="34" priority="5"/>
    <cfRule type="duplicateValues" dxfId="33" priority="3"/>
    <cfRule type="duplicateValues" dxfId="32" priority="4"/>
    <cfRule type="duplicateValues" dxfId="31" priority="2"/>
    <cfRule type="duplicateValues" dxfId="30" priority="1"/>
  </conditionalFormatting>
  <hyperlinks>
    <hyperlink ref="O7" r:id="rId1" xr:uid="{2C67451B-7583-4A6A-8578-D0A689703D86}"/>
    <hyperlink ref="O6" r:id="rId2" xr:uid="{B7684A39-3AC7-40D4-9ADC-D9E00F63E40D}"/>
    <hyperlink ref="O5" r:id="rId3" xr:uid="{09A004AA-9EE1-4741-B5CE-E3BE66917E24}"/>
    <hyperlink ref="O169" r:id="rId4" xr:uid="{C8BF064C-AAA4-4BA1-8544-15E80ED268B2}"/>
    <hyperlink ref="O175" r:id="rId5" xr:uid="{42ECA6F4-D970-4EE7-BFD2-B8626F7EB4A0}"/>
    <hyperlink ref="O179" r:id="rId6" xr:uid="{F272124C-9C46-45D6-8E21-F02EC262FB6F}"/>
    <hyperlink ref="O180" r:id="rId7" xr:uid="{E951A9C5-8EDE-4C9C-8CB3-B5936A8F4ECC}"/>
    <hyperlink ref="O182" r:id="rId8" xr:uid="{56671DA2-745D-48C2-80B2-3FBD5100EFDB}"/>
    <hyperlink ref="O183" r:id="rId9" xr:uid="{B163EAC4-3BE1-4201-A6FA-46248D21FACA}"/>
    <hyperlink ref="O185" r:id="rId10" xr:uid="{EB892F6A-97A3-4101-BF82-F8C599BDE528}"/>
    <hyperlink ref="O186" r:id="rId11" xr:uid="{AB49D359-BA83-4247-B812-14366AC2B926}"/>
    <hyperlink ref="O188" r:id="rId12" xr:uid="{C6D02D8E-C418-442F-9F14-CBE191485FEF}"/>
    <hyperlink ref="O189" r:id="rId13" xr:uid="{F03EB49A-5D3D-EF45-A276-D66513FD3DF2}"/>
    <hyperlink ref="O190" r:id="rId14" xr:uid="{146EAC9F-B6C1-4808-9E3B-6B700F8DCFB6}"/>
    <hyperlink ref="O191" r:id="rId15" xr:uid="{08D35506-58DD-45C4-8CA6-A134DB8ED7EF}"/>
    <hyperlink ref="O192" r:id="rId16" xr:uid="{AA2DE742-2F11-4BDE-B083-173F4C99A687}"/>
    <hyperlink ref="O193" r:id="rId17" xr:uid="{0F66E86E-290B-4FC0-8529-08686D5D293C}"/>
    <hyperlink ref="O194" r:id="rId18" xr:uid="{27BFE2AA-E05D-404D-A8AD-104B9BD6B22B}"/>
    <hyperlink ref="O195" r:id="rId19" xr:uid="{8A7F1A0A-FD85-574F-BA59-A0A03EBADC63}"/>
    <hyperlink ref="O196" r:id="rId20" xr:uid="{3FBFC451-FF9C-7141-9F11-9E1C27294963}"/>
    <hyperlink ref="O155" r:id="rId21" xr:uid="{51D32BE8-4339-2641-8F62-6AEB2C3CCD3F}"/>
  </hyperlinks>
  <pageMargins left="0.7" right="0.7" top="0.75" bottom="0.75" header="0.3" footer="0.3"/>
  <legacy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A248-84D9-4032-8849-20D450454E24}">
  <dimension ref="E1:J52"/>
  <sheetViews>
    <sheetView topLeftCell="A16" zoomScaleNormal="100" workbookViewId="0">
      <selection activeCell="J2" sqref="J2"/>
    </sheetView>
  </sheetViews>
  <sheetFormatPr baseColWidth="10" defaultRowHeight="15" x14ac:dyDescent="0.25"/>
  <cols>
    <col min="5" max="5" width="34" bestFit="1" customWidth="1"/>
    <col min="8" max="8" width="56.85546875" bestFit="1" customWidth="1"/>
    <col min="9" max="9" width="4.42578125" style="119" bestFit="1" customWidth="1"/>
  </cols>
  <sheetData>
    <row r="1" spans="5:10" ht="15.75" thickBot="1" x14ac:dyDescent="0.3">
      <c r="H1" t="s">
        <v>1129</v>
      </c>
      <c r="I1" s="119" t="s">
        <v>1130</v>
      </c>
      <c r="J1" t="s">
        <v>1131</v>
      </c>
    </row>
    <row r="2" spans="5:10" ht="19.5" thickTop="1" thickBot="1" x14ac:dyDescent="0.4">
      <c r="H2" s="120" t="s">
        <v>1066</v>
      </c>
      <c r="I2" s="121">
        <v>7</v>
      </c>
      <c r="J2" s="120">
        <v>1</v>
      </c>
    </row>
    <row r="3" spans="5:10" ht="19.5" thickTop="1" thickBot="1" x14ac:dyDescent="0.4">
      <c r="H3" s="120" t="s">
        <v>1046</v>
      </c>
      <c r="I3" s="121">
        <v>13</v>
      </c>
      <c r="J3" s="120">
        <v>1</v>
      </c>
    </row>
    <row r="4" spans="5:10" ht="19.5" thickTop="1" thickBot="1" x14ac:dyDescent="0.4">
      <c r="E4" s="109"/>
      <c r="H4" s="120" t="s">
        <v>1110</v>
      </c>
      <c r="I4" s="121">
        <v>25</v>
      </c>
      <c r="J4" s="120">
        <v>1</v>
      </c>
    </row>
    <row r="5" spans="5:10" ht="19.5" thickTop="1" thickBot="1" x14ac:dyDescent="0.4">
      <c r="E5" s="111" t="s">
        <v>1031</v>
      </c>
      <c r="H5" s="120" t="s">
        <v>1111</v>
      </c>
      <c r="I5" s="121">
        <v>25</v>
      </c>
      <c r="J5" s="120">
        <v>1</v>
      </c>
    </row>
    <row r="6" spans="5:10" ht="19.5" thickTop="1" thickBot="1" x14ac:dyDescent="0.4">
      <c r="E6" s="112" t="s">
        <v>1065</v>
      </c>
      <c r="H6" s="120" t="s">
        <v>1112</v>
      </c>
      <c r="I6" s="121">
        <v>5</v>
      </c>
      <c r="J6" s="120">
        <v>1</v>
      </c>
    </row>
    <row r="7" spans="5:10" ht="19.5" thickTop="1" thickBot="1" x14ac:dyDescent="0.4">
      <c r="E7" s="113" t="s">
        <v>1033</v>
      </c>
      <c r="H7" s="120" t="s">
        <v>1060</v>
      </c>
      <c r="I7" s="121">
        <v>23</v>
      </c>
      <c r="J7" s="120">
        <v>1</v>
      </c>
    </row>
    <row r="8" spans="5:10" ht="19.5" thickTop="1" thickBot="1" x14ac:dyDescent="0.4">
      <c r="E8" s="113" t="s">
        <v>1034</v>
      </c>
      <c r="H8" s="120" t="s">
        <v>1061</v>
      </c>
      <c r="I8" s="121">
        <v>25</v>
      </c>
      <c r="J8" s="120">
        <v>2</v>
      </c>
    </row>
    <row r="9" spans="5:10" ht="19.5" thickTop="1" thickBot="1" x14ac:dyDescent="0.4">
      <c r="E9" s="108" t="s">
        <v>1043</v>
      </c>
      <c r="H9" s="120" t="s">
        <v>1032</v>
      </c>
      <c r="I9" s="121">
        <v>3</v>
      </c>
      <c r="J9" s="120">
        <v>2</v>
      </c>
    </row>
    <row r="10" spans="5:10" ht="19.5" thickTop="1" thickBot="1" x14ac:dyDescent="0.4">
      <c r="E10" s="108" t="s">
        <v>1036</v>
      </c>
      <c r="H10" s="120" t="s">
        <v>1057</v>
      </c>
      <c r="I10" s="121">
        <v>1</v>
      </c>
      <c r="J10" s="120">
        <v>2</v>
      </c>
    </row>
    <row r="11" spans="5:10" ht="19.5" thickTop="1" thickBot="1" x14ac:dyDescent="0.4">
      <c r="E11" s="108" t="s">
        <v>1064</v>
      </c>
      <c r="H11" s="120" t="s">
        <v>1091</v>
      </c>
      <c r="I11" s="121">
        <v>7</v>
      </c>
      <c r="J11" s="120">
        <v>2</v>
      </c>
    </row>
    <row r="12" spans="5:10" ht="19.5" thickTop="1" thickBot="1" x14ac:dyDescent="0.4">
      <c r="E12" s="110" t="s">
        <v>1035</v>
      </c>
      <c r="H12" s="120" t="s">
        <v>666</v>
      </c>
      <c r="I12" s="121">
        <v>3</v>
      </c>
      <c r="J12" s="120">
        <v>2</v>
      </c>
    </row>
    <row r="13" spans="5:10" ht="19.5" thickTop="1" thickBot="1" x14ac:dyDescent="0.4">
      <c r="E13" s="109" t="s">
        <v>1040</v>
      </c>
      <c r="H13" s="120" t="s">
        <v>1051</v>
      </c>
      <c r="I13" s="121">
        <v>20</v>
      </c>
      <c r="J13" s="120">
        <v>2</v>
      </c>
    </row>
    <row r="14" spans="5:10" ht="19.5" thickTop="1" thickBot="1" x14ac:dyDescent="0.4">
      <c r="H14" s="120" t="s">
        <v>1063</v>
      </c>
      <c r="I14" s="121">
        <v>10</v>
      </c>
      <c r="J14" s="120">
        <v>3</v>
      </c>
    </row>
    <row r="15" spans="5:10" ht="19.5" thickTop="1" thickBot="1" x14ac:dyDescent="0.4">
      <c r="H15" s="120" t="s">
        <v>1031</v>
      </c>
      <c r="I15" s="121">
        <v>15</v>
      </c>
      <c r="J15" s="120">
        <v>4</v>
      </c>
    </row>
    <row r="16" spans="5:10" ht="19.5" thickTop="1" thickBot="1" x14ac:dyDescent="0.4">
      <c r="H16" s="120" t="s">
        <v>1038</v>
      </c>
      <c r="I16" s="121">
        <v>20</v>
      </c>
      <c r="J16" s="120">
        <v>4</v>
      </c>
    </row>
    <row r="17" spans="5:10" ht="19.5" thickTop="1" thickBot="1" x14ac:dyDescent="0.4">
      <c r="E17" s="114"/>
      <c r="H17" s="120" t="s">
        <v>1128</v>
      </c>
      <c r="I17" s="121">
        <v>6</v>
      </c>
      <c r="J17" s="120">
        <v>4</v>
      </c>
    </row>
    <row r="18" spans="5:10" ht="19.5" thickTop="1" thickBot="1" x14ac:dyDescent="0.4">
      <c r="H18" s="120" t="s">
        <v>1052</v>
      </c>
      <c r="I18" s="121">
        <v>26</v>
      </c>
      <c r="J18" s="120">
        <v>4</v>
      </c>
    </row>
    <row r="19" spans="5:10" ht="19.5" thickTop="1" thickBot="1" x14ac:dyDescent="0.4">
      <c r="H19" s="120" t="s">
        <v>1065</v>
      </c>
      <c r="I19" s="121">
        <v>4</v>
      </c>
      <c r="J19" s="120">
        <v>5</v>
      </c>
    </row>
    <row r="20" spans="5:10" ht="19.5" thickTop="1" thickBot="1" x14ac:dyDescent="0.4">
      <c r="H20" s="120" t="s">
        <v>1033</v>
      </c>
      <c r="I20" s="121">
        <v>10</v>
      </c>
      <c r="J20" s="120">
        <v>5</v>
      </c>
    </row>
    <row r="21" spans="5:10" ht="19.5" thickTop="1" thickBot="1" x14ac:dyDescent="0.4">
      <c r="H21" s="120" t="s">
        <v>1034</v>
      </c>
      <c r="I21" s="121">
        <v>30</v>
      </c>
      <c r="J21" s="120">
        <v>5</v>
      </c>
    </row>
    <row r="22" spans="5:10" ht="19.5" thickTop="1" thickBot="1" x14ac:dyDescent="0.4">
      <c r="H22" s="120" t="s">
        <v>1020</v>
      </c>
      <c r="I22" s="121">
        <v>18</v>
      </c>
      <c r="J22" s="120">
        <v>5</v>
      </c>
    </row>
    <row r="23" spans="5:10" ht="19.5" thickTop="1" thickBot="1" x14ac:dyDescent="0.4">
      <c r="H23" s="120" t="s">
        <v>1030</v>
      </c>
      <c r="I23" s="121">
        <v>6</v>
      </c>
      <c r="J23" s="120">
        <v>6</v>
      </c>
    </row>
    <row r="24" spans="5:10" ht="19.5" thickTop="1" thickBot="1" x14ac:dyDescent="0.4">
      <c r="H24" s="120" t="s">
        <v>1039</v>
      </c>
      <c r="I24" s="121">
        <v>13</v>
      </c>
      <c r="J24" s="120">
        <v>6</v>
      </c>
    </row>
    <row r="25" spans="5:10" ht="19.5" thickTop="1" thickBot="1" x14ac:dyDescent="0.4">
      <c r="H25" s="120" t="s">
        <v>1120</v>
      </c>
      <c r="I25" s="121">
        <v>20</v>
      </c>
      <c r="J25" s="120">
        <v>6</v>
      </c>
    </row>
    <row r="26" spans="5:10" ht="19.5" thickTop="1" thickBot="1" x14ac:dyDescent="0.4">
      <c r="H26" s="120" t="s">
        <v>1045</v>
      </c>
      <c r="I26" s="121">
        <v>18</v>
      </c>
      <c r="J26" s="120">
        <v>6</v>
      </c>
    </row>
    <row r="27" spans="5:10" ht="19.5" thickTop="1" thickBot="1" x14ac:dyDescent="0.4">
      <c r="H27" s="120" t="s">
        <v>1093</v>
      </c>
      <c r="I27" s="121">
        <v>10</v>
      </c>
      <c r="J27" s="120">
        <v>6</v>
      </c>
    </row>
    <row r="28" spans="5:10" ht="19.5" thickTop="1" thickBot="1" x14ac:dyDescent="0.4">
      <c r="H28" s="120" t="s">
        <v>1059</v>
      </c>
      <c r="I28" s="121">
        <v>9</v>
      </c>
      <c r="J28" s="120">
        <v>6</v>
      </c>
    </row>
    <row r="29" spans="5:10" ht="19.5" thickTop="1" thickBot="1" x14ac:dyDescent="0.4">
      <c r="H29" s="120" t="s">
        <v>1064</v>
      </c>
      <c r="I29" s="121">
        <v>22</v>
      </c>
      <c r="J29" s="120">
        <v>7</v>
      </c>
    </row>
    <row r="30" spans="5:10" ht="19.5" thickTop="1" thickBot="1" x14ac:dyDescent="0.4">
      <c r="H30" s="120" t="s">
        <v>1036</v>
      </c>
      <c r="I30" s="121">
        <v>15</v>
      </c>
      <c r="J30" s="120">
        <v>7</v>
      </c>
    </row>
    <row r="31" spans="5:10" ht="19.5" thickTop="1" thickBot="1" x14ac:dyDescent="0.4">
      <c r="H31" s="120" t="s">
        <v>1037</v>
      </c>
      <c r="I31" s="121">
        <v>4</v>
      </c>
      <c r="J31" s="120">
        <v>7</v>
      </c>
    </row>
    <row r="32" spans="5:10" ht="19.5" thickTop="1" thickBot="1" x14ac:dyDescent="0.4">
      <c r="H32" s="120" t="s">
        <v>1043</v>
      </c>
      <c r="I32" s="121">
        <v>1</v>
      </c>
      <c r="J32" s="120">
        <v>7</v>
      </c>
    </row>
    <row r="33" spans="8:10" ht="19.5" thickTop="1" thickBot="1" x14ac:dyDescent="0.4">
      <c r="H33" s="120" t="s">
        <v>1068</v>
      </c>
      <c r="I33" s="121">
        <v>11</v>
      </c>
      <c r="J33" s="120">
        <v>8</v>
      </c>
    </row>
    <row r="34" spans="8:10" ht="19.5" thickTop="1" thickBot="1" x14ac:dyDescent="0.4">
      <c r="H34" s="120" t="s">
        <v>1035</v>
      </c>
      <c r="I34" s="121">
        <v>24</v>
      </c>
      <c r="J34" s="120">
        <v>8</v>
      </c>
    </row>
    <row r="35" spans="8:10" ht="19.5" thickTop="1" thickBot="1" x14ac:dyDescent="0.4">
      <c r="H35" s="120" t="s">
        <v>1040</v>
      </c>
      <c r="I35" s="121">
        <v>25</v>
      </c>
      <c r="J35" s="120">
        <v>8</v>
      </c>
    </row>
    <row r="36" spans="8:10" ht="19.5" thickTop="1" thickBot="1" x14ac:dyDescent="0.4">
      <c r="H36" s="120" t="s">
        <v>1044</v>
      </c>
      <c r="I36" s="121">
        <v>14</v>
      </c>
      <c r="J36" s="120">
        <v>8</v>
      </c>
    </row>
    <row r="37" spans="8:10" ht="19.5" thickTop="1" thickBot="1" x14ac:dyDescent="0.4">
      <c r="H37" s="120" t="s">
        <v>1047</v>
      </c>
      <c r="I37" s="121">
        <v>18</v>
      </c>
      <c r="J37" s="120">
        <v>8</v>
      </c>
    </row>
    <row r="38" spans="8:10" ht="19.5" thickTop="1" thickBot="1" x14ac:dyDescent="0.4">
      <c r="H38" s="120" t="s">
        <v>1055</v>
      </c>
      <c r="I38" s="121">
        <v>21</v>
      </c>
      <c r="J38" s="120">
        <v>8</v>
      </c>
    </row>
    <row r="39" spans="8:10" ht="19.5" thickTop="1" thickBot="1" x14ac:dyDescent="0.4">
      <c r="H39" s="120" t="s">
        <v>1056</v>
      </c>
      <c r="I39" s="121">
        <v>18</v>
      </c>
      <c r="J39" s="120">
        <v>8</v>
      </c>
    </row>
    <row r="40" spans="8:10" ht="19.5" thickTop="1" thickBot="1" x14ac:dyDescent="0.4">
      <c r="H40" s="120" t="s">
        <v>1062</v>
      </c>
      <c r="I40" s="121">
        <v>12</v>
      </c>
      <c r="J40" s="120">
        <v>9</v>
      </c>
    </row>
    <row r="41" spans="8:10" ht="19.5" thickTop="1" thickBot="1" x14ac:dyDescent="0.4">
      <c r="H41" s="120" t="s">
        <v>1092</v>
      </c>
      <c r="I41" s="121">
        <v>6</v>
      </c>
      <c r="J41" s="120">
        <v>9</v>
      </c>
    </row>
    <row r="42" spans="8:10" ht="19.5" thickTop="1" thickBot="1" x14ac:dyDescent="0.4">
      <c r="H42" s="120" t="s">
        <v>1054</v>
      </c>
      <c r="I42" s="121">
        <v>11</v>
      </c>
      <c r="J42" s="120">
        <v>10</v>
      </c>
    </row>
    <row r="43" spans="8:10" ht="19.5" thickTop="1" thickBot="1" x14ac:dyDescent="0.4">
      <c r="H43" s="120" t="s">
        <v>1050</v>
      </c>
      <c r="I43" s="121">
        <v>28</v>
      </c>
      <c r="J43" s="120">
        <v>10</v>
      </c>
    </row>
    <row r="44" spans="8:10" ht="19.5" thickTop="1" thickBot="1" x14ac:dyDescent="0.4">
      <c r="H44" s="120" t="s">
        <v>1058</v>
      </c>
      <c r="I44" s="121">
        <v>23</v>
      </c>
      <c r="J44" s="120">
        <v>10</v>
      </c>
    </row>
    <row r="45" spans="8:10" ht="19.5" thickTop="1" thickBot="1" x14ac:dyDescent="0.4">
      <c r="H45" s="120" t="s">
        <v>1041</v>
      </c>
      <c r="I45" s="121">
        <v>18</v>
      </c>
      <c r="J45" s="120">
        <v>11</v>
      </c>
    </row>
    <row r="46" spans="8:10" ht="19.5" thickTop="1" thickBot="1" x14ac:dyDescent="0.4">
      <c r="H46" s="120" t="s">
        <v>1090</v>
      </c>
      <c r="I46" s="121">
        <v>9</v>
      </c>
      <c r="J46" s="120">
        <v>11</v>
      </c>
    </row>
    <row r="47" spans="8:10" ht="19.5" thickTop="1" thickBot="1" x14ac:dyDescent="0.4">
      <c r="H47" s="120" t="s">
        <v>1053</v>
      </c>
      <c r="I47" s="121">
        <v>26</v>
      </c>
      <c r="J47" s="120">
        <v>11</v>
      </c>
    </row>
    <row r="48" spans="8:10" ht="19.5" thickTop="1" thickBot="1" x14ac:dyDescent="0.4">
      <c r="H48" s="120" t="s">
        <v>1029</v>
      </c>
      <c r="I48" s="121">
        <v>9</v>
      </c>
      <c r="J48" s="120">
        <v>12</v>
      </c>
    </row>
    <row r="49" spans="8:10" ht="19.5" thickTop="1" thickBot="1" x14ac:dyDescent="0.4">
      <c r="H49" s="120" t="s">
        <v>1022</v>
      </c>
      <c r="I49" s="121">
        <v>26</v>
      </c>
      <c r="J49" s="120">
        <v>12</v>
      </c>
    </row>
    <row r="50" spans="8:10" ht="19.5" thickTop="1" thickBot="1" x14ac:dyDescent="0.4">
      <c r="H50" s="120" t="s">
        <v>1042</v>
      </c>
      <c r="I50" s="121">
        <v>10</v>
      </c>
      <c r="J50" s="120">
        <v>12</v>
      </c>
    </row>
    <row r="51" spans="8:10" ht="19.5" thickTop="1" thickBot="1" x14ac:dyDescent="0.4">
      <c r="H51" s="120" t="s">
        <v>1048</v>
      </c>
      <c r="I51" s="121">
        <v>4</v>
      </c>
      <c r="J51" s="120">
        <v>12</v>
      </c>
    </row>
    <row r="52" spans="8:10" ht="15.75" thickTop="1" x14ac:dyDescent="0.25"/>
  </sheetData>
  <autoFilter ref="H1:J1" xr:uid="{53E4A248-84D9-4032-8849-20D450454E24}">
    <sortState xmlns:xlrd2="http://schemas.microsoft.com/office/spreadsheetml/2017/richdata2" ref="H2:J51">
      <sortCondition ref="J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9E36-0FE5-40CC-B950-914128B7B7C2}">
  <dimension ref="C5:K52"/>
  <sheetViews>
    <sheetView topLeftCell="A27" workbookViewId="0">
      <selection activeCell="C29" sqref="C29"/>
    </sheetView>
  </sheetViews>
  <sheetFormatPr baseColWidth="10" defaultRowHeight="15" x14ac:dyDescent="0.25"/>
  <cols>
    <col min="3" max="3" width="38.140625" bestFit="1" customWidth="1"/>
    <col min="4" max="4" width="10.140625" bestFit="1" customWidth="1"/>
    <col min="5" max="5" width="27" bestFit="1" customWidth="1"/>
    <col min="6" max="6" width="23.42578125" customWidth="1"/>
    <col min="7" max="7" width="25.42578125" bestFit="1" customWidth="1"/>
    <col min="10" max="10" width="43" bestFit="1" customWidth="1"/>
  </cols>
  <sheetData>
    <row r="5" spans="3:11" x14ac:dyDescent="0.25">
      <c r="J5" t="s">
        <v>1121</v>
      </c>
      <c r="K5" t="s">
        <v>1122</v>
      </c>
    </row>
    <row r="6" spans="3:11" x14ac:dyDescent="0.25">
      <c r="J6" t="s">
        <v>1120</v>
      </c>
      <c r="K6" s="106" t="s">
        <v>1123</v>
      </c>
    </row>
    <row r="7" spans="3:11" x14ac:dyDescent="0.25">
      <c r="J7" s="106" t="s">
        <v>1031</v>
      </c>
      <c r="K7" s="106" t="s">
        <v>1123</v>
      </c>
    </row>
    <row r="8" spans="3:11" x14ac:dyDescent="0.25">
      <c r="J8" t="s">
        <v>1045</v>
      </c>
      <c r="K8" s="106" t="s">
        <v>1125</v>
      </c>
    </row>
    <row r="9" spans="3:11" x14ac:dyDescent="0.25">
      <c r="J9" t="s">
        <v>1046</v>
      </c>
      <c r="K9" s="106" t="s">
        <v>1123</v>
      </c>
    </row>
    <row r="10" spans="3:11" x14ac:dyDescent="0.25">
      <c r="C10" s="92" t="s">
        <v>898</v>
      </c>
      <c r="D10" s="92" t="s">
        <v>28</v>
      </c>
      <c r="E10" s="92" t="s">
        <v>899</v>
      </c>
      <c r="F10" s="92" t="s">
        <v>987</v>
      </c>
      <c r="G10" s="92" t="s">
        <v>988</v>
      </c>
      <c r="H10" s="92" t="s">
        <v>1007</v>
      </c>
      <c r="J10" t="s">
        <v>1039</v>
      </c>
      <c r="K10" s="106" t="s">
        <v>1123</v>
      </c>
    </row>
    <row r="11" spans="3:11" ht="15.75" x14ac:dyDescent="0.25">
      <c r="C11" s="12" t="e">
        <f>'PERSONAL ACTIVO'!#REF!</f>
        <v>#REF!</v>
      </c>
      <c r="D11" s="55" t="e">
        <f>'PERSONAL ACTIVO'!#REF!</f>
        <v>#REF!</v>
      </c>
      <c r="E11" s="12" t="s">
        <v>285</v>
      </c>
      <c r="F11" s="54" t="s">
        <v>1006</v>
      </c>
      <c r="G11" s="105">
        <v>45656</v>
      </c>
      <c r="H11" s="107">
        <v>0.29166666666666669</v>
      </c>
      <c r="J11" s="106" t="s">
        <v>1032</v>
      </c>
      <c r="K11" s="106" t="s">
        <v>1125</v>
      </c>
    </row>
    <row r="12" spans="3:11" x14ac:dyDescent="0.25">
      <c r="J12" t="s">
        <v>1033</v>
      </c>
      <c r="K12" s="106" t="s">
        <v>1123</v>
      </c>
    </row>
    <row r="13" spans="3:11" x14ac:dyDescent="0.25">
      <c r="C13" s="92" t="s">
        <v>898</v>
      </c>
      <c r="D13" s="92" t="s">
        <v>28</v>
      </c>
      <c r="E13" s="92" t="s">
        <v>899</v>
      </c>
      <c r="F13" s="92" t="s">
        <v>1001</v>
      </c>
      <c r="G13" s="92" t="s">
        <v>988</v>
      </c>
      <c r="J13" t="s">
        <v>1047</v>
      </c>
      <c r="K13" s="106" t="s">
        <v>1125</v>
      </c>
    </row>
    <row r="14" spans="3:11" ht="15.75" x14ac:dyDescent="0.25">
      <c r="C14" s="12" t="s">
        <v>1110</v>
      </c>
      <c r="D14" s="55">
        <v>72307618</v>
      </c>
      <c r="E14" s="12" t="s">
        <v>1000</v>
      </c>
      <c r="F14" s="54" t="s">
        <v>1107</v>
      </c>
      <c r="G14" s="105">
        <v>45658</v>
      </c>
      <c r="J14" s="106" t="s">
        <v>1029</v>
      </c>
      <c r="K14" s="106" t="s">
        <v>1125</v>
      </c>
    </row>
    <row r="15" spans="3:11" ht="15.75" x14ac:dyDescent="0.25">
      <c r="C15" s="12" t="s">
        <v>1111</v>
      </c>
      <c r="D15" s="55">
        <v>47697810</v>
      </c>
      <c r="E15" s="12" t="s">
        <v>1000</v>
      </c>
      <c r="F15" s="54" t="s">
        <v>1108</v>
      </c>
      <c r="G15" s="105">
        <v>45658</v>
      </c>
      <c r="J15" t="s">
        <v>1048</v>
      </c>
      <c r="K15" s="106" t="s">
        <v>1123</v>
      </c>
    </row>
    <row r="16" spans="3:11" ht="15.75" x14ac:dyDescent="0.25">
      <c r="C16" s="12" t="s">
        <v>1112</v>
      </c>
      <c r="D16" s="55">
        <v>75141452</v>
      </c>
      <c r="E16" s="12" t="s">
        <v>1000</v>
      </c>
      <c r="F16" s="55" t="s">
        <v>1109</v>
      </c>
      <c r="G16" s="105">
        <v>45658</v>
      </c>
      <c r="J16" t="s">
        <v>1090</v>
      </c>
      <c r="K16" s="106" t="s">
        <v>1125</v>
      </c>
    </row>
    <row r="17" spans="3:11" ht="15.75" x14ac:dyDescent="0.25">
      <c r="C17" s="12"/>
      <c r="D17" s="55"/>
      <c r="E17" s="12"/>
      <c r="F17" s="54"/>
      <c r="G17" s="105"/>
      <c r="J17" t="s">
        <v>1049</v>
      </c>
      <c r="K17" s="106" t="s">
        <v>1123</v>
      </c>
    </row>
    <row r="18" spans="3:11" ht="15.75" x14ac:dyDescent="0.25">
      <c r="C18" s="12"/>
      <c r="D18" s="55"/>
      <c r="E18" s="12"/>
      <c r="F18" s="54"/>
      <c r="G18" s="105"/>
      <c r="J18" t="s">
        <v>1061</v>
      </c>
      <c r="K18" s="106" t="s">
        <v>1125</v>
      </c>
    </row>
    <row r="19" spans="3:11" x14ac:dyDescent="0.25">
      <c r="J19" t="s">
        <v>1110</v>
      </c>
      <c r="K19" s="106" t="s">
        <v>1125</v>
      </c>
    </row>
    <row r="20" spans="3:11" x14ac:dyDescent="0.25">
      <c r="J20" s="117" t="s">
        <v>1124</v>
      </c>
      <c r="K20" t="s">
        <v>1123</v>
      </c>
    </row>
    <row r="21" spans="3:11" x14ac:dyDescent="0.25">
      <c r="J21" t="s">
        <v>1091</v>
      </c>
      <c r="K21" s="106" t="s">
        <v>1123</v>
      </c>
    </row>
    <row r="22" spans="3:11" x14ac:dyDescent="0.25">
      <c r="J22" t="s">
        <v>1111</v>
      </c>
      <c r="K22" s="106" t="s">
        <v>1123</v>
      </c>
    </row>
    <row r="23" spans="3:11" x14ac:dyDescent="0.25">
      <c r="J23" t="s">
        <v>1112</v>
      </c>
      <c r="K23" s="106" t="s">
        <v>1123</v>
      </c>
    </row>
    <row r="24" spans="3:11" x14ac:dyDescent="0.25">
      <c r="J24" t="s">
        <v>1040</v>
      </c>
      <c r="K24" s="106" t="s">
        <v>1123</v>
      </c>
    </row>
    <row r="25" spans="3:11" x14ac:dyDescent="0.25">
      <c r="J25" t="s">
        <v>1068</v>
      </c>
      <c r="K25" s="106" t="s">
        <v>1123</v>
      </c>
    </row>
    <row r="26" spans="3:11" x14ac:dyDescent="0.25">
      <c r="J26" t="s">
        <v>666</v>
      </c>
      <c r="K26" s="106" t="s">
        <v>1125</v>
      </c>
    </row>
    <row r="27" spans="3:11" x14ac:dyDescent="0.25">
      <c r="J27" t="s">
        <v>1041</v>
      </c>
      <c r="K27" s="106" t="s">
        <v>1123</v>
      </c>
    </row>
    <row r="28" spans="3:11" x14ac:dyDescent="0.25">
      <c r="J28" t="s">
        <v>1034</v>
      </c>
      <c r="K28" s="106" t="s">
        <v>1123</v>
      </c>
    </row>
    <row r="29" spans="3:11" x14ac:dyDescent="0.25">
      <c r="J29" t="s">
        <v>1051</v>
      </c>
      <c r="K29" s="106" t="s">
        <v>1123</v>
      </c>
    </row>
    <row r="30" spans="3:11" x14ac:dyDescent="0.25">
      <c r="J30" t="s">
        <v>1042</v>
      </c>
      <c r="K30" s="106" t="s">
        <v>1125</v>
      </c>
    </row>
    <row r="31" spans="3:11" x14ac:dyDescent="0.25">
      <c r="J31" t="s">
        <v>1050</v>
      </c>
      <c r="K31" s="106" t="s">
        <v>1123</v>
      </c>
    </row>
    <row r="32" spans="3:11" x14ac:dyDescent="0.25">
      <c r="J32" t="s">
        <v>1092</v>
      </c>
      <c r="K32" s="106" t="s">
        <v>1125</v>
      </c>
    </row>
    <row r="33" spans="10:11" x14ac:dyDescent="0.25">
      <c r="J33" t="s">
        <v>1052</v>
      </c>
      <c r="K33" s="106" t="s">
        <v>1123</v>
      </c>
    </row>
    <row r="34" spans="10:11" x14ac:dyDescent="0.25">
      <c r="J34" t="s">
        <v>1035</v>
      </c>
      <c r="K34" s="106" t="s">
        <v>1123</v>
      </c>
    </row>
    <row r="35" spans="10:11" x14ac:dyDescent="0.25">
      <c r="J35" t="s">
        <v>1093</v>
      </c>
      <c r="K35" s="106" t="s">
        <v>1123</v>
      </c>
    </row>
    <row r="36" spans="10:11" x14ac:dyDescent="0.25">
      <c r="J36" t="s">
        <v>1094</v>
      </c>
      <c r="K36" s="106" t="s">
        <v>1125</v>
      </c>
    </row>
    <row r="37" spans="10:11" x14ac:dyDescent="0.25">
      <c r="J37" t="s">
        <v>1053</v>
      </c>
      <c r="K37" s="106" t="s">
        <v>1123</v>
      </c>
    </row>
    <row r="38" spans="10:11" x14ac:dyDescent="0.25">
      <c r="J38" t="s">
        <v>1036</v>
      </c>
      <c r="K38" s="106" t="s">
        <v>1123</v>
      </c>
    </row>
    <row r="39" spans="10:11" x14ac:dyDescent="0.25">
      <c r="J39" t="s">
        <v>1020</v>
      </c>
      <c r="K39" s="106" t="s">
        <v>1123</v>
      </c>
    </row>
    <row r="40" spans="10:11" x14ac:dyDescent="0.25">
      <c r="J40" t="s">
        <v>1054</v>
      </c>
      <c r="K40" s="106" t="s">
        <v>1123</v>
      </c>
    </row>
    <row r="41" spans="10:11" x14ac:dyDescent="0.25">
      <c r="J41" t="s">
        <v>1022</v>
      </c>
      <c r="K41" s="106" t="s">
        <v>1123</v>
      </c>
    </row>
    <row r="42" spans="10:11" x14ac:dyDescent="0.25">
      <c r="J42" t="s">
        <v>1037</v>
      </c>
      <c r="K42" s="106" t="s">
        <v>1123</v>
      </c>
    </row>
    <row r="43" spans="10:11" x14ac:dyDescent="0.25">
      <c r="J43" t="s">
        <v>1043</v>
      </c>
      <c r="K43" s="106" t="s">
        <v>1123</v>
      </c>
    </row>
    <row r="44" spans="10:11" x14ac:dyDescent="0.25">
      <c r="J44" t="s">
        <v>1055</v>
      </c>
      <c r="K44" s="106" t="s">
        <v>1123</v>
      </c>
    </row>
    <row r="45" spans="10:11" x14ac:dyDescent="0.25">
      <c r="J45" t="s">
        <v>1056</v>
      </c>
      <c r="K45" s="106" t="s">
        <v>1125</v>
      </c>
    </row>
    <row r="46" spans="10:11" x14ac:dyDescent="0.25">
      <c r="J46" t="s">
        <v>1044</v>
      </c>
      <c r="K46" s="106" t="s">
        <v>1125</v>
      </c>
    </row>
    <row r="47" spans="10:11" x14ac:dyDescent="0.25">
      <c r="J47" s="106" t="s">
        <v>1030</v>
      </c>
      <c r="K47" s="106" t="s">
        <v>1123</v>
      </c>
    </row>
    <row r="48" spans="10:11" x14ac:dyDescent="0.25">
      <c r="J48" t="s">
        <v>1057</v>
      </c>
      <c r="K48" s="106" t="s">
        <v>1125</v>
      </c>
    </row>
    <row r="49" spans="10:11" x14ac:dyDescent="0.25">
      <c r="J49" t="s">
        <v>1058</v>
      </c>
      <c r="K49" s="106" t="s">
        <v>1125</v>
      </c>
    </row>
    <row r="50" spans="10:11" x14ac:dyDescent="0.25">
      <c r="J50" t="s">
        <v>1059</v>
      </c>
      <c r="K50" s="106" t="s">
        <v>1123</v>
      </c>
    </row>
    <row r="51" spans="10:11" x14ac:dyDescent="0.25">
      <c r="J51" t="s">
        <v>1060</v>
      </c>
      <c r="K51" s="106" t="s">
        <v>1123</v>
      </c>
    </row>
    <row r="52" spans="10:11" x14ac:dyDescent="0.25">
      <c r="J52" s="118" t="s">
        <v>1038</v>
      </c>
      <c r="K52" s="106" t="s">
        <v>1125</v>
      </c>
    </row>
  </sheetData>
  <autoFilter ref="J5:K52" xr:uid="{63369E36-0FE5-40CC-B950-914128B7B7C2}">
    <sortState xmlns:xlrd2="http://schemas.microsoft.com/office/spreadsheetml/2017/richdata2" ref="J6:K52">
      <sortCondition ref="J5:J51"/>
    </sortState>
  </autoFilter>
  <phoneticPr fontId="8" type="noConversion"/>
  <conditionalFormatting sqref="D11">
    <cfRule type="duplicateValues" dxfId="29" priority="26"/>
    <cfRule type="duplicateValues" dxfId="28" priority="27"/>
    <cfRule type="duplicateValues" dxfId="27" priority="28"/>
    <cfRule type="duplicateValues" dxfId="26" priority="29"/>
    <cfRule type="duplicateValues" dxfId="25" priority="30"/>
  </conditionalFormatting>
  <conditionalFormatting sqref="D14">
    <cfRule type="duplicateValues" dxfId="24" priority="31"/>
    <cfRule type="duplicateValues" dxfId="23" priority="32"/>
    <cfRule type="duplicateValues" dxfId="22" priority="33"/>
    <cfRule type="duplicateValues" dxfId="21" priority="34"/>
    <cfRule type="duplicateValues" dxfId="20" priority="35"/>
  </conditionalFormatting>
  <conditionalFormatting sqref="D15"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D16"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</conditionalFormatting>
  <conditionalFormatting sqref="D17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</conditionalFormatting>
  <conditionalFormatting sqref="D18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EF0F-8396-4CD3-A866-CCEA13EB1DBF}">
  <dimension ref="B5:B45"/>
  <sheetViews>
    <sheetView topLeftCell="A26" workbookViewId="0">
      <selection activeCell="B48" sqref="B48:B62"/>
    </sheetView>
  </sheetViews>
  <sheetFormatPr baseColWidth="10" defaultRowHeight="15" x14ac:dyDescent="0.25"/>
  <cols>
    <col min="2" max="2" width="47" bestFit="1" customWidth="1"/>
  </cols>
  <sheetData>
    <row r="5" spans="2:2" ht="15.75" x14ac:dyDescent="0.25">
      <c r="B5" s="56"/>
    </row>
    <row r="6" spans="2:2" ht="15.75" x14ac:dyDescent="0.25">
      <c r="B6" s="131" t="s">
        <v>1044</v>
      </c>
    </row>
    <row r="7" spans="2:2" ht="15.75" x14ac:dyDescent="0.25">
      <c r="B7" s="56"/>
    </row>
    <row r="8" spans="2:2" ht="15.75" x14ac:dyDescent="0.25">
      <c r="B8" s="129" t="s">
        <v>1065</v>
      </c>
    </row>
    <row r="9" spans="2:2" ht="15.75" x14ac:dyDescent="0.25">
      <c r="B9" s="126"/>
    </row>
    <row r="10" spans="2:2" ht="15.75" x14ac:dyDescent="0.25">
      <c r="B10" s="129" t="s">
        <v>1061</v>
      </c>
    </row>
    <row r="11" spans="2:2" ht="15.75" x14ac:dyDescent="0.25">
      <c r="B11" s="131" t="s">
        <v>1068</v>
      </c>
    </row>
    <row r="12" spans="2:2" ht="15.75" x14ac:dyDescent="0.25">
      <c r="B12" s="129" t="s">
        <v>1029</v>
      </c>
    </row>
    <row r="13" spans="2:2" ht="15.75" x14ac:dyDescent="0.25">
      <c r="B13" s="131" t="s">
        <v>1030</v>
      </c>
    </row>
    <row r="14" spans="2:2" ht="15.75" x14ac:dyDescent="0.25">
      <c r="B14" s="129" t="s">
        <v>1031</v>
      </c>
    </row>
    <row r="15" spans="2:2" ht="15.75" x14ac:dyDescent="0.25">
      <c r="B15" s="129" t="s">
        <v>1032</v>
      </c>
    </row>
    <row r="16" spans="2:2" ht="15.75" x14ac:dyDescent="0.25">
      <c r="B16" s="56"/>
    </row>
    <row r="17" spans="2:2" ht="15.75" x14ac:dyDescent="0.25">
      <c r="B17" s="129" t="s">
        <v>1035</v>
      </c>
    </row>
    <row r="18" spans="2:2" ht="15.75" x14ac:dyDescent="0.25">
      <c r="B18" s="131" t="s">
        <v>1036</v>
      </c>
    </row>
    <row r="19" spans="2:2" ht="15.75" x14ac:dyDescent="0.25">
      <c r="B19" s="56"/>
    </row>
    <row r="20" spans="2:2" ht="15.75" x14ac:dyDescent="0.25">
      <c r="B20" s="56"/>
    </row>
    <row r="21" spans="2:2" ht="15.75" x14ac:dyDescent="0.25">
      <c r="B21" s="129" t="s">
        <v>1037</v>
      </c>
    </row>
    <row r="22" spans="2:2" ht="15.75" x14ac:dyDescent="0.25">
      <c r="B22" s="131" t="s">
        <v>1039</v>
      </c>
    </row>
    <row r="23" spans="2:2" ht="15.75" x14ac:dyDescent="0.25">
      <c r="B23" s="129" t="s">
        <v>1040</v>
      </c>
    </row>
    <row r="24" spans="2:2" ht="15.75" x14ac:dyDescent="0.25">
      <c r="B24" s="131" t="s">
        <v>1041</v>
      </c>
    </row>
    <row r="25" spans="2:2" ht="15.75" x14ac:dyDescent="0.25">
      <c r="B25" s="129" t="s">
        <v>1042</v>
      </c>
    </row>
    <row r="26" spans="2:2" ht="15.75" x14ac:dyDescent="0.25">
      <c r="B26" s="129" t="s">
        <v>1054</v>
      </c>
    </row>
    <row r="27" spans="2:2" ht="15.75" x14ac:dyDescent="0.25">
      <c r="B27" s="56"/>
    </row>
    <row r="28" spans="2:2" ht="15.75" x14ac:dyDescent="0.25">
      <c r="B28" s="129" t="s">
        <v>1057</v>
      </c>
    </row>
    <row r="29" spans="2:2" ht="15.75" x14ac:dyDescent="0.25">
      <c r="B29" s="130" t="s">
        <v>1045</v>
      </c>
    </row>
    <row r="30" spans="2:2" ht="15.75" x14ac:dyDescent="0.25">
      <c r="B30" s="131" t="s">
        <v>1046</v>
      </c>
    </row>
    <row r="31" spans="2:2" ht="15.75" x14ac:dyDescent="0.25">
      <c r="B31" s="56"/>
    </row>
    <row r="32" spans="2:2" ht="15.75" x14ac:dyDescent="0.25">
      <c r="B32" s="130" t="s">
        <v>1048</v>
      </c>
    </row>
    <row r="33" spans="2:2" ht="15.75" x14ac:dyDescent="0.25">
      <c r="B33" s="131" t="s">
        <v>1090</v>
      </c>
    </row>
    <row r="34" spans="2:2" ht="15.75" x14ac:dyDescent="0.25">
      <c r="B34" s="56"/>
    </row>
    <row r="36" spans="2:2" ht="15.75" x14ac:dyDescent="0.25">
      <c r="B36" s="129" t="s">
        <v>666</v>
      </c>
    </row>
    <row r="37" spans="2:2" ht="15.75" x14ac:dyDescent="0.25">
      <c r="B37" s="129" t="s">
        <v>1050</v>
      </c>
    </row>
    <row r="38" spans="2:2" ht="15.75" x14ac:dyDescent="0.25">
      <c r="B38" s="130" t="s">
        <v>1092</v>
      </c>
    </row>
    <row r="39" spans="2:2" ht="15.75" x14ac:dyDescent="0.25">
      <c r="B39" s="129" t="s">
        <v>1051</v>
      </c>
    </row>
    <row r="40" spans="2:2" ht="15.75" x14ac:dyDescent="0.25">
      <c r="B40" s="131" t="s">
        <v>1052</v>
      </c>
    </row>
    <row r="41" spans="2:2" ht="15.75" x14ac:dyDescent="0.25">
      <c r="B41" s="129" t="s">
        <v>1053</v>
      </c>
    </row>
    <row r="43" spans="2:2" ht="15.75" x14ac:dyDescent="0.25">
      <c r="B43" s="130" t="s">
        <v>1056</v>
      </c>
    </row>
    <row r="44" spans="2:2" ht="15.75" x14ac:dyDescent="0.25">
      <c r="B44" s="130" t="s">
        <v>1060</v>
      </c>
    </row>
    <row r="45" spans="2:2" ht="15.75" x14ac:dyDescent="0.25">
      <c r="B45" s="5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65d5fb-4867-43d9-9f85-2da0f6c17cb4">
      <Terms xmlns="http://schemas.microsoft.com/office/infopath/2007/PartnerControls"/>
    </lcf76f155ced4ddcb4097134ff3c332f>
    <TaxCatchAll xmlns="7355e28c-449e-48fd-a1c5-8bae1f76ba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4DD7620A26D84A8A629A227F4CD836" ma:contentTypeVersion="14" ma:contentTypeDescription="Crear nuevo documento." ma:contentTypeScope="" ma:versionID="2c17b31542a896e3c0e2facb9850eca5">
  <xsd:schema xmlns:xsd="http://www.w3.org/2001/XMLSchema" xmlns:xs="http://www.w3.org/2001/XMLSchema" xmlns:p="http://schemas.microsoft.com/office/2006/metadata/properties" xmlns:ns2="e265d5fb-4867-43d9-9f85-2da0f6c17cb4" xmlns:ns3="7355e28c-449e-48fd-a1c5-8bae1f76baaf" targetNamespace="http://schemas.microsoft.com/office/2006/metadata/properties" ma:root="true" ma:fieldsID="bc4e7bbbc1f7a2fa63d4d2bce7769577" ns2:_="" ns3:_="">
    <xsd:import namespace="e265d5fb-4867-43d9-9f85-2da0f6c17cb4"/>
    <xsd:import namespace="7355e28c-449e-48fd-a1c5-8bae1f76ba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5d5fb-4867-43d9-9f85-2da0f6c17c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521e969-1202-40f1-b4f8-1ca2a96bae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5e28c-449e-48fd-a1c5-8bae1f76ba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acea19-0d9b-4758-926d-e23f388109cf}" ma:internalName="TaxCatchAll" ma:showField="CatchAllData" ma:web="7355e28c-449e-48fd-a1c5-8bae1f76ba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EC345-0100-44C5-9D07-DDA82D50ABD0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7355e28c-449e-48fd-a1c5-8bae1f76baaf"/>
    <ds:schemaRef ds:uri="e265d5fb-4867-43d9-9f85-2da0f6c17cb4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99BB52A-4904-46BB-9767-0B432A509A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3BE2A7-E7DC-4395-A26A-D62AB7B24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65d5fb-4867-43d9-9f85-2da0f6c17cb4"/>
    <ds:schemaRef ds:uri="7355e28c-449e-48fd-a1c5-8bae1f76ba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PERSONAL ACTIVO</vt:lpstr>
      <vt:lpstr>PERSONAL CESADO</vt:lpstr>
      <vt:lpstr>Hoja2</vt:lpstr>
      <vt:lpstr>Hoja1</vt:lpstr>
      <vt:lpstr>Hoja3</vt:lpstr>
      <vt:lpstr>'PERSONAL ACTIVO'!Área_de_impresión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Jhoel Corcuera Diaz</dc:creator>
  <cp:lastModifiedBy>Asis. Marsa</cp:lastModifiedBy>
  <cp:lastPrinted>2025-01-11T16:38:58Z</cp:lastPrinted>
  <dcterms:created xsi:type="dcterms:W3CDTF">2020-10-10T13:56:48Z</dcterms:created>
  <dcterms:modified xsi:type="dcterms:W3CDTF">2026-01-31T00:32:09Z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0x010100BE4DD7620A26D84A8A629A227F4CD836</vt:lpwstr>
  </property>
  <property fmtid="{D5CDD505-2E9C-101B-9397-08002B2CF9AE}" pid="3" name="MediaServiceImageTags">
    <vt:lpwstr/>
  </property>
</Properties>
</file>